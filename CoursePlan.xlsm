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e1d5d7790a9154/Desktop/Degree Plan/"/>
    </mc:Choice>
  </mc:AlternateContent>
  <xr:revisionPtr revIDLastSave="2934" documentId="8_{D2123545-28C1-47DA-A937-80DEB63C77BC}" xr6:coauthVersionLast="47" xr6:coauthVersionMax="47" xr10:uidLastSave="{10351166-B98D-48D7-ABE7-4CF9899927C7}"/>
  <bookViews>
    <workbookView xWindow="33720" yWindow="-120" windowWidth="29040" windowHeight="16440" activeTab="1" xr2:uid="{A761254C-7865-4966-A7F0-C546FE48793C}"/>
  </bookViews>
  <sheets>
    <sheet name="Credits" sheetId="1" r:id="rId1"/>
    <sheet name="Courses" sheetId="2" r:id="rId2"/>
    <sheet name="Math" sheetId="3" r:id="rId3"/>
    <sheet name="Filler" sheetId="5" r:id="rId4"/>
  </sheets>
  <definedNames>
    <definedName name="_xlnm._FilterDatabase" localSheetId="0" hidden="1">Credits!$A$1:$Q$21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 a="1"/>
  <c r="A1" i="3" s="1"/>
  <c r="A109" i="3" a="1"/>
  <c r="A109" i="3" s="1"/>
  <c r="J3" i="1" s="1"/>
  <c r="A110" i="3" a="1"/>
  <c r="A110" i="3" s="1"/>
  <c r="J4" i="1" s="1"/>
  <c r="A111" i="3" a="1"/>
  <c r="A111" i="3" s="1"/>
  <c r="J5" i="1" s="1"/>
  <c r="A112" i="3" a="1"/>
  <c r="A112" i="3" s="1"/>
  <c r="J6" i="1" s="1"/>
  <c r="A113" i="3" a="1"/>
  <c r="A113" i="3" s="1"/>
  <c r="J7" i="1" s="1"/>
  <c r="A108" i="3" a="1"/>
  <c r="A108" i="3" s="1"/>
  <c r="J2" i="1" s="1"/>
  <c r="A102" i="3" a="1"/>
  <c r="A102" i="3" s="1"/>
  <c r="I3" i="1" s="1"/>
  <c r="A103" i="3" a="1"/>
  <c r="A103" i="3" s="1"/>
  <c r="I4" i="1" s="1"/>
  <c r="A104" i="3" a="1"/>
  <c r="A104" i="3" s="1"/>
  <c r="I5" i="1" s="1"/>
  <c r="A105" i="3" a="1"/>
  <c r="A105" i="3" s="1"/>
  <c r="I6" i="1" s="1"/>
  <c r="A106" i="3" a="1"/>
  <c r="A106" i="3" s="1"/>
  <c r="I7" i="1" s="1"/>
  <c r="A101" i="3" a="1"/>
  <c r="A101" i="3" s="1"/>
  <c r="I2" i="1" s="1"/>
  <c r="A95" i="3" a="1"/>
  <c r="A95" i="3" s="1"/>
  <c r="H3" i="1" s="1"/>
  <c r="A96" i="3" a="1"/>
  <c r="A96" i="3" s="1"/>
  <c r="H4" i="1" s="1"/>
  <c r="A97" i="3" a="1"/>
  <c r="A97" i="3" s="1"/>
  <c r="H5" i="1" s="1"/>
  <c r="A98" i="3" a="1"/>
  <c r="A98" i="3" s="1"/>
  <c r="H6" i="1" s="1"/>
  <c r="A99" i="3" a="1"/>
  <c r="A99" i="3" s="1"/>
  <c r="H7" i="1" s="1"/>
  <c r="A94" i="3" a="1"/>
  <c r="A94" i="3" s="1"/>
  <c r="H2" i="1" s="1"/>
  <c r="A88" i="3" a="1"/>
  <c r="A88" i="3" s="1"/>
  <c r="G3" i="1" s="1"/>
  <c r="A89" i="3" a="1"/>
  <c r="A89" i="3" s="1"/>
  <c r="G4" i="1" s="1"/>
  <c r="A90" i="3" a="1"/>
  <c r="A90" i="3" s="1"/>
  <c r="G5" i="1" s="1"/>
  <c r="A91" i="3" a="1"/>
  <c r="A91" i="3" s="1"/>
  <c r="G6" i="1" s="1"/>
  <c r="A92" i="3" a="1"/>
  <c r="A92" i="3" s="1"/>
  <c r="G7" i="1" s="1"/>
  <c r="A87" i="3" a="1"/>
  <c r="A87" i="3" s="1"/>
  <c r="G2" i="1" s="1"/>
  <c r="A85" i="3" a="1"/>
  <c r="A85" i="3" s="1"/>
  <c r="F7" i="1" s="1"/>
  <c r="A84" i="3" a="1"/>
  <c r="A84" i="3" s="1"/>
  <c r="F6" i="1" s="1"/>
  <c r="A26" i="3" s="1" a="1"/>
  <c r="C26" i="3" s="1"/>
  <c r="A83" i="3" a="1"/>
  <c r="A83" i="3" s="1"/>
  <c r="F5" i="1" s="1"/>
  <c r="A25" i="3" s="1" a="1"/>
  <c r="C25" i="3" s="1"/>
  <c r="A82" i="3" a="1"/>
  <c r="A82" i="3" s="1"/>
  <c r="F4" i="1" s="1"/>
  <c r="A24" i="3" s="1" a="1"/>
  <c r="C24" i="3" s="1"/>
  <c r="A81" i="3" a="1"/>
  <c r="A81" i="3" s="1"/>
  <c r="F3" i="1" s="1"/>
  <c r="A23" i="3" s="1" a="1"/>
  <c r="A23" i="3" s="1"/>
  <c r="A80" i="3" a="1"/>
  <c r="A80" i="3" s="1"/>
  <c r="F2" i="1" s="1"/>
  <c r="A22" i="3" s="1" a="1"/>
  <c r="A22" i="3" s="1"/>
  <c r="A74" i="3" a="1"/>
  <c r="A74" i="3" s="1"/>
  <c r="E3" i="1" s="1"/>
  <c r="A17" i="3" s="1" a="1"/>
  <c r="A17" i="3" s="1"/>
  <c r="A75" i="3" a="1"/>
  <c r="A75" i="3" s="1"/>
  <c r="E4" i="1" s="1"/>
  <c r="A18" i="3" s="1" a="1"/>
  <c r="A18" i="3" s="1"/>
  <c r="A76" i="3" a="1"/>
  <c r="A76" i="3" s="1"/>
  <c r="E5" i="1" s="1"/>
  <c r="A19" i="3" s="1" a="1"/>
  <c r="C19" i="3" s="1"/>
  <c r="A77" i="3" a="1"/>
  <c r="A77" i="3" s="1"/>
  <c r="E6" i="1" s="1"/>
  <c r="A20" i="3" s="1" a="1"/>
  <c r="A20" i="3" s="1"/>
  <c r="A78" i="3" a="1"/>
  <c r="A78" i="3" s="1"/>
  <c r="E7" i="1" s="1"/>
  <c r="A73" i="3" a="1"/>
  <c r="A73" i="3" s="1"/>
  <c r="E2" i="1" s="1"/>
  <c r="A16" i="3" s="1" a="1"/>
  <c r="A16" i="3" s="1"/>
  <c r="A67" i="3" a="1"/>
  <c r="A67" i="3" s="1"/>
  <c r="D3" i="1" s="1"/>
  <c r="A11" i="3" s="1" a="1"/>
  <c r="A11" i="3" s="1"/>
  <c r="A68" i="3" a="1"/>
  <c r="A68" i="3" s="1"/>
  <c r="D4" i="1" s="1"/>
  <c r="A12" i="3" s="1" a="1"/>
  <c r="A12" i="3" s="1"/>
  <c r="A69" i="3" a="1"/>
  <c r="A69" i="3" s="1"/>
  <c r="D5" i="1" s="1"/>
  <c r="A13" i="3" s="1" a="1"/>
  <c r="C13" i="3" s="1"/>
  <c r="A70" i="3" a="1"/>
  <c r="A70" i="3" s="1"/>
  <c r="D6" i="1" s="1"/>
  <c r="A14" i="3" s="1" a="1"/>
  <c r="A14" i="3" s="1"/>
  <c r="A71" i="3" a="1"/>
  <c r="A71" i="3" s="1"/>
  <c r="D7" i="1" s="1"/>
  <c r="A66" i="3" a="1"/>
  <c r="A66" i="3" s="1"/>
  <c r="D2" i="1" s="1"/>
  <c r="A10" i="3" s="1" a="1"/>
  <c r="A10" i="3" s="1"/>
  <c r="A60" i="3" a="1"/>
  <c r="A60" i="3" s="1"/>
  <c r="C3" i="1" s="1"/>
  <c r="A4" i="3" s="1" a="1"/>
  <c r="A4" i="3" s="1"/>
  <c r="A61" i="3" a="1"/>
  <c r="A61" i="3" s="1"/>
  <c r="C4" i="1" s="1"/>
  <c r="A5" i="3" s="1" a="1"/>
  <c r="C5" i="3" s="1"/>
  <c r="A62" i="3" a="1"/>
  <c r="A62" i="3" s="1"/>
  <c r="C5" i="1" s="1"/>
  <c r="A6" i="3" s="1" a="1"/>
  <c r="C6" i="3" s="1"/>
  <c r="A63" i="3" a="1"/>
  <c r="A63" i="3" s="1"/>
  <c r="C6" i="1" s="1"/>
  <c r="A7" i="3" s="1" a="1"/>
  <c r="C7" i="3" s="1"/>
  <c r="A64" i="3" a="1"/>
  <c r="A64" i="3" s="1"/>
  <c r="C7" i="1" s="1"/>
  <c r="A8" i="3" s="1" a="1"/>
  <c r="C8" i="3" s="1"/>
  <c r="A59" i="3" a="1"/>
  <c r="A59" i="3" s="1"/>
  <c r="C2" i="1" s="1"/>
  <c r="A3" i="3" s="1" a="1"/>
  <c r="A3" i="3" s="1"/>
  <c r="C18" i="3" l="1"/>
  <c r="A48" i="3" a="1"/>
  <c r="A48" i="3" s="1"/>
  <c r="E9" i="3"/>
  <c r="A55" i="3" a="1"/>
  <c r="A55" i="3" s="1"/>
  <c r="A41" i="3" a="1"/>
  <c r="C41" i="3" s="1"/>
  <c r="A34" i="3" a="1"/>
  <c r="C34" i="3" s="1"/>
  <c r="A45" i="3" a="1"/>
  <c r="A45" i="3" s="1"/>
  <c r="A44" i="3" a="1"/>
  <c r="A44" i="3" s="1"/>
  <c r="A43" i="3" a="1"/>
  <c r="A43" i="3" s="1"/>
  <c r="A54" i="3" a="1"/>
  <c r="A6" i="3"/>
  <c r="A26" i="3"/>
  <c r="A46" i="3" a="1"/>
  <c r="A40" i="3" a="1"/>
  <c r="A40" i="3" s="1"/>
  <c r="A39" i="3" a="1"/>
  <c r="A47" i="3" a="1"/>
  <c r="A51" i="3" a="1"/>
  <c r="A50" i="3" a="1"/>
  <c r="A50" i="3" s="1"/>
  <c r="A53" i="3" a="1"/>
  <c r="A52" i="3" a="1"/>
  <c r="A38" i="3" a="1"/>
  <c r="A37" i="3" a="1"/>
  <c r="A36" i="3" a="1"/>
  <c r="A33" i="3" a="1"/>
  <c r="A32" i="3" a="1"/>
  <c r="A29" i="3" a="1"/>
  <c r="A29" i="3" s="1"/>
  <c r="A31" i="3" a="1"/>
  <c r="A31" i="3" s="1"/>
  <c r="A30" i="3" a="1"/>
  <c r="C42" i="3"/>
  <c r="A25" i="3"/>
  <c r="A24" i="3"/>
  <c r="C12" i="3"/>
  <c r="A5" i="3"/>
  <c r="C11" i="3"/>
  <c r="A7" i="3"/>
  <c r="C23" i="3"/>
  <c r="A8" i="3"/>
  <c r="C4" i="3"/>
  <c r="C17" i="3"/>
  <c r="C3" i="3"/>
  <c r="C14" i="3"/>
  <c r="C10" i="3"/>
  <c r="A19" i="3"/>
  <c r="C20" i="3"/>
  <c r="A13" i="3"/>
  <c r="C22" i="3"/>
  <c r="C1" i="3"/>
  <c r="C16" i="3"/>
  <c r="C55" i="3" l="1"/>
  <c r="C48" i="3"/>
  <c r="A41" i="3"/>
  <c r="A34" i="3"/>
  <c r="C45" i="3"/>
  <c r="A52" i="3"/>
  <c r="C52" i="3"/>
  <c r="A53" i="3"/>
  <c r="C53" i="3"/>
  <c r="A51" i="3"/>
  <c r="C51" i="3"/>
  <c r="A39" i="3"/>
  <c r="C39" i="3"/>
  <c r="A33" i="3"/>
  <c r="C33" i="3"/>
  <c r="A54" i="3"/>
  <c r="C54" i="3"/>
  <c r="D10" i="1" a="1"/>
  <c r="D10" i="1" s="1"/>
  <c r="C50" i="3"/>
  <c r="C40" i="3"/>
  <c r="C10" i="1" a="1"/>
  <c r="C10" i="1" s="1"/>
  <c r="C46" i="3"/>
  <c r="C49" i="3"/>
  <c r="C38" i="3"/>
  <c r="A47" i="3"/>
  <c r="C44" i="3"/>
  <c r="A46" i="3"/>
  <c r="C43" i="3"/>
  <c r="C37" i="3"/>
  <c r="C47" i="3"/>
  <c r="A38" i="3"/>
  <c r="C36" i="3"/>
  <c r="A37" i="3"/>
  <c r="C35" i="3"/>
  <c r="A36" i="3"/>
  <c r="A32" i="3"/>
  <c r="C31" i="3"/>
  <c r="C32" i="3"/>
  <c r="C30" i="3"/>
  <c r="A30" i="3"/>
  <c r="C29" i="3"/>
  <c r="C28" i="3"/>
  <c r="F10" i="1" a="1"/>
  <c r="F10" i="1" s="1"/>
  <c r="E10" i="1" a="1"/>
  <c r="E10" i="1" s="1"/>
  <c r="J10" i="1" l="1" a="1"/>
  <c r="J10" i="1" s="1"/>
  <c r="I10" i="1" a="1"/>
  <c r="I10" i="1" s="1"/>
  <c r="G10" i="1" a="1"/>
  <c r="G10" i="1" s="1"/>
  <c r="H10" i="1" a="1"/>
  <c r="H10" i="1" s="1"/>
  <c r="L11" i="1" l="1"/>
  <c r="M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<sst xmlns="http://schemas.openxmlformats.org/spreadsheetml/2006/main" count="117" uniqueCount="64">
  <si>
    <t>Fall 21</t>
  </si>
  <si>
    <t>Fall 22</t>
  </si>
  <si>
    <t>Spring 23</t>
  </si>
  <si>
    <t>Fall 23</t>
  </si>
  <si>
    <t>Spring 24</t>
  </si>
  <si>
    <t>Fall 24</t>
  </si>
  <si>
    <t>Spring 25</t>
  </si>
  <si>
    <t>NSC 3361</t>
  </si>
  <si>
    <t>CS 1336</t>
  </si>
  <si>
    <t>BBSU 1100</t>
  </si>
  <si>
    <t>GOV 2306</t>
  </si>
  <si>
    <t>HIST 1301</t>
  </si>
  <si>
    <t>CS 1136</t>
  </si>
  <si>
    <t>MATH 2418</t>
  </si>
  <si>
    <t>CS 1337</t>
  </si>
  <si>
    <t>GOV 2305</t>
  </si>
  <si>
    <t>PHIL 1306</t>
  </si>
  <si>
    <t>MATH 2417</t>
  </si>
  <si>
    <t>CS 2305</t>
  </si>
  <si>
    <t>PHYS 1301</t>
  </si>
  <si>
    <t>CGS 2301</t>
  </si>
  <si>
    <t>PHYS 2125</t>
  </si>
  <si>
    <t>CS 2336</t>
  </si>
  <si>
    <t>MATH 2414</t>
  </si>
  <si>
    <t>Course Options</t>
  </si>
  <si>
    <t>PSY 3392 Research Design and Analysis</t>
  </si>
  <si>
    <t>CGS 3361</t>
  </si>
  <si>
    <t>AP Credit/Dual Credit</t>
  </si>
  <si>
    <t>KEY</t>
  </si>
  <si>
    <t>Spring 22</t>
  </si>
  <si>
    <t>Summer</t>
  </si>
  <si>
    <t>AP/DC</t>
  </si>
  <si>
    <t>Dual Credit English</t>
  </si>
  <si>
    <t>Total (Semester) Credits:</t>
  </si>
  <si>
    <t>Total (Cumulative) Credits:</t>
  </si>
  <si>
    <t>Credits Left:</t>
  </si>
  <si>
    <t>Summer Credits</t>
  </si>
  <si>
    <t>HIST 1302</t>
  </si>
  <si>
    <t>Must Take 12 Credits</t>
  </si>
  <si>
    <t>CS 4372 Computational Methods for Data Scientists</t>
  </si>
  <si>
    <t>PSY 3339 Educational Psychology</t>
  </si>
  <si>
    <t>SPAU 3303 Normal Language Development</t>
  </si>
  <si>
    <t>SPAU 3343 Phonetics and Phonology</t>
  </si>
  <si>
    <t>CGS 4320 Psychology of Reasoning</t>
  </si>
  <si>
    <t>CGS 4352 Human-Computer Interaction I</t>
  </si>
  <si>
    <t>CGS 4353 Human-Computer Interaction II</t>
  </si>
  <si>
    <t>CGS 4362 Perception</t>
  </si>
  <si>
    <t>PSY 3310 Child Development</t>
  </si>
  <si>
    <t>PSY 3331 Social Psychology</t>
  </si>
  <si>
    <t>PSY 3362 Cognitive Development</t>
  </si>
  <si>
    <t>PSY 4343 Abnormal Psychology</t>
  </si>
  <si>
    <t>CS 3341 Probability and Statistics in Computer Science and Software Engineering</t>
  </si>
  <si>
    <t>CS 3345 Data Structures and Introduction to Algorithmic Analysis</t>
  </si>
  <si>
    <t>CS 4365 Artificial Intelligence</t>
  </si>
  <si>
    <t>CS 4375 Introduction to Machine Learning</t>
  </si>
  <si>
    <t>CS 4391 Introduction to Computer Vision</t>
  </si>
  <si>
    <t>CS 4395 Human Language Technologies</t>
  </si>
  <si>
    <t>Importing From Courses</t>
  </si>
  <si>
    <t>PSY 2314</t>
  </si>
  <si>
    <t>AP Psych</t>
  </si>
  <si>
    <t>PSY 2317 Statistics for Psychology Probability</t>
  </si>
  <si>
    <t xml:space="preserve">PSY 3393 Experimental Projects in Psychology </t>
  </si>
  <si>
    <t>MUSI 2322</t>
  </si>
  <si>
    <t>Past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</si>
</sst>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7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rgb="FFFFC000"/>
      <name val="Calibri"/>
      <family val="2"/>
      <scheme val="minor"/>
    </font>
    <font>
      <b/>
      <u/>
      <sz val="11"/>
      <color rgb="FF92D050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sz val="7"/>
      <color rgb="FFF8F8F2"/>
      <name val="Consolas"/>
      <family val="3"/>
    </font>
    <font>
      <sz val="9"/>
      <color rgb="FF92D05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11"/>
      <color rgb="FF660033"/>
      <name val="Calibri"/>
      <family val="2"/>
      <scheme val="minor"/>
    </font>
    <font>
      <sz val="11"/>
      <color rgb="FF66003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CCFF"/>
      <name val="Calibri"/>
      <family val="2"/>
      <scheme val="minor"/>
    </font>
    <font>
      <b/>
      <u/>
      <sz val="11"/>
      <color rgb="FF00CC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0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</cellXfs>
  <cellStyles count="1"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00CCFF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rgb="FF7030A0"/>
      </font>
    </dxf>
    <dxf>
      <font>
        <color rgb="FF0070C0"/>
      </font>
    </dxf>
    <dxf>
      <font>
        <color rgb="FF00B050"/>
      </font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0000"/>
      <color rgb="FF00CCFF"/>
      <color rgb="FF00FFFF"/>
      <color rgb="FF92D050"/>
      <color rgb="FF00B050"/>
      <color rgb="FF0070C0"/>
      <color rgb="FF7030A0"/>
      <color rgb="FF660033"/>
      <color rgb="FF6600CC"/>
      <color rgb="FF09D7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003EA-2805-48A6-8889-9A4E1AFEC916}">
  <sheetPr codeName="Sheet2"/>
  <dimension ref="A1:M1048576"/>
  <sheetViews>
    <sheetView workbookViewId="0">
      <selection activeCell="C14" sqref="C14"/>
    </sheetView>
  </sheetViews>
  <sheetFormatPr defaultRowHeight="14.5" x14ac:dyDescent="0.35"/>
  <cols>
    <col min="1" max="1" width="21.54296875" bestFit="1" customWidth="1"/>
    <col min="2" max="2" width="14.26953125" bestFit="1" customWidth="1"/>
    <col min="3" max="3" width="9.6328125" bestFit="1" customWidth="1"/>
    <col min="4" max="6" width="10.453125" bestFit="1" customWidth="1"/>
    <col min="7" max="7" width="8.81640625" bestFit="1" customWidth="1"/>
    <col min="8" max="8" width="9.6328125" bestFit="1" customWidth="1"/>
    <col min="9" max="10" width="8.81640625" bestFit="1" customWidth="1"/>
    <col min="11" max="11" width="21.26953125" bestFit="1" customWidth="1"/>
    <col min="12" max="12" width="23.1796875" bestFit="1" customWidth="1"/>
    <col min="13" max="13" width="10.7265625" bestFit="1" customWidth="1"/>
    <col min="24" max="24" width="8.7265625" customWidth="1"/>
  </cols>
  <sheetData>
    <row r="1" spans="1:13" x14ac:dyDescent="0.35">
      <c r="B1" s="10" t="s">
        <v>36</v>
      </c>
      <c r="C1" s="28" t="s">
        <v>0</v>
      </c>
      <c r="D1" s="11" t="s">
        <v>29</v>
      </c>
      <c r="E1" s="12" t="s">
        <v>1</v>
      </c>
      <c r="F1" s="13" t="s">
        <v>2</v>
      </c>
      <c r="G1" s="14" t="s">
        <v>3</v>
      </c>
      <c r="H1" s="15" t="s">
        <v>4</v>
      </c>
      <c r="I1" s="16" t="s">
        <v>5</v>
      </c>
      <c r="J1" s="17" t="s">
        <v>6</v>
      </c>
      <c r="K1" s="22" t="s">
        <v>27</v>
      </c>
    </row>
    <row r="2" spans="1:13" x14ac:dyDescent="0.35">
      <c r="B2" s="9" t="s">
        <v>37</v>
      </c>
      <c r="C2" s="27" t="str">
        <f>IFERROR(_xlfn.CONCAT(Math!A59, " ", Math!B59), "AAA 0000")</f>
        <v>BBSU 1100</v>
      </c>
      <c r="D2" s="3" t="str">
        <f>IFERROR(_xlfn.CONCAT(Math!A66, " ", Math!B66), "AAA 0000")</f>
        <v>CS 1337</v>
      </c>
      <c r="E2" s="2" t="str">
        <f>IFERROR(_xlfn.CONCAT(Math!A73, " ", Math!B73), "AAA 0000")</f>
        <v>CGS 2301</v>
      </c>
      <c r="F2" s="4" t="str">
        <f>IFERROR(_xlfn.CONCAT(Math!A80, " ", Math!B80),"AAA 0000")</f>
        <v>MUSI 2322</v>
      </c>
      <c r="G2" s="26" t="str">
        <f>IFERROR(_xlfn.CONCAT(Math!A87, " ", Math!B87), "AAA 0000")</f>
        <v>PSY 2317</v>
      </c>
      <c r="H2" s="26" t="str">
        <f>IFERROR(_xlfn.CONCAT(Math!A94, " ", Math!B94), "AAA 0000")</f>
        <v>PSY 3393</v>
      </c>
      <c r="I2" s="26" t="str">
        <f>IFERROR(_xlfn.CONCAT(Math!A101, " ", Math!B101), "AAA 0000")</f>
        <v>PSY 3339</v>
      </c>
      <c r="J2" s="26" t="str">
        <f>IFERROR(_xlfn.CONCAT(Math!A108, " ", Math!B108),"AAA 0000")</f>
        <v>CS 4372</v>
      </c>
      <c r="K2" s="23" t="s">
        <v>59</v>
      </c>
    </row>
    <row r="3" spans="1:13" x14ac:dyDescent="0.35">
      <c r="B3" s="9"/>
      <c r="C3" s="27" t="str">
        <f>IFERROR(_xlfn.CONCAT(Math!A60, " ", Math!B60), "AAA 0000")</f>
        <v>CS 1136</v>
      </c>
      <c r="D3" s="3" t="str">
        <f>IFERROR(_xlfn.CONCAT(Math!A67, " ", Math!B67), "AAA 0000")</f>
        <v>GOV 2305</v>
      </c>
      <c r="E3" s="2" t="str">
        <f>IFERROR(_xlfn.CONCAT(Math!A74, " ", Math!B74), "AAA 0000")</f>
        <v>CS 2305</v>
      </c>
      <c r="F3" s="4" t="str">
        <f>IFERROR(_xlfn.CONCAT(Math!A81, " ", Math!B81),"AAA 0000")</f>
        <v>CGS 3361</v>
      </c>
      <c r="G3" s="26" t="str">
        <f>IFERROR(_xlfn.CONCAT(Math!A88, " ", Math!B88), "AAA 0000")</f>
        <v>PSY 3331</v>
      </c>
      <c r="H3" s="26" t="str">
        <f>IFERROR(_xlfn.CONCAT(Math!A95, " ", Math!B95), "AAA 0000")</f>
        <v>SPAU 3303</v>
      </c>
      <c r="I3" s="26" t="str">
        <f>IFERROR(_xlfn.CONCAT(Math!A102, " ", Math!B102), "AAA 0000")</f>
        <v>PSY 3392</v>
      </c>
      <c r="J3" s="26" t="str">
        <f>IFERROR(_xlfn.CONCAT(Math!A109, " ", Math!B109),"AAA 0000")</f>
        <v>CGS 4320</v>
      </c>
      <c r="K3" s="23" t="s">
        <v>32</v>
      </c>
    </row>
    <row r="4" spans="1:13" x14ac:dyDescent="0.35">
      <c r="B4" s="9"/>
      <c r="C4" s="27" t="str">
        <f>IFERROR(_xlfn.CONCAT(Math!A61, " ", Math!B61), "AAA 0000")</f>
        <v>CS 1336</v>
      </c>
      <c r="D4" s="3" t="str">
        <f>IFERROR(_xlfn.CONCAT(Math!A68, " ", Math!B68), "AAA 0000")</f>
        <v>MATH 2417</v>
      </c>
      <c r="E4" s="2" t="str">
        <f>IFERROR(_xlfn.CONCAT(Math!A75, " ", Math!B75), "AAA 0000")</f>
        <v>MATH 2418</v>
      </c>
      <c r="F4" s="4" t="str">
        <f>IFERROR(_xlfn.CONCAT(Math!A82, " ", Math!B82),"AAA 0000")</f>
        <v>CS 2336</v>
      </c>
      <c r="G4" s="26" t="str">
        <f>IFERROR(_xlfn.CONCAT(Math!A89, " ", Math!B89), "AAA 0000")</f>
        <v>PSY 3362</v>
      </c>
      <c r="H4" s="26" t="str">
        <f>IFERROR(_xlfn.CONCAT(Math!A96, " ", Math!B96), "AAA 0000")</f>
        <v>CGS 4352</v>
      </c>
      <c r="I4" s="26" t="str">
        <f>IFERROR(_xlfn.CONCAT(Math!A103, " ", Math!B103), "AAA 0000")</f>
        <v>CGS 4353</v>
      </c>
      <c r="J4" s="26" t="str">
        <f>IFERROR(_xlfn.CONCAT(Math!A110, " ", Math!B110),"AAA 0000")</f>
        <v>CGS 4362</v>
      </c>
      <c r="K4" s="23"/>
    </row>
    <row r="5" spans="1:13" x14ac:dyDescent="0.35">
      <c r="B5" s="9"/>
      <c r="C5" s="27" t="str">
        <f>IFERROR(_xlfn.CONCAT(Math!A62, " ", Math!B62), "AAA 0000")</f>
        <v>GOV 2306</v>
      </c>
      <c r="D5" s="3" t="str">
        <f>IFERROR(_xlfn.CONCAT(Math!A69, " ", Math!B69), "AAA 0000")</f>
        <v>NSC 3361</v>
      </c>
      <c r="E5" s="2" t="str">
        <f>IFERROR(_xlfn.CONCAT(Math!A76, " ", Math!B76), "AAA 0000")</f>
        <v>PHYS 1301</v>
      </c>
      <c r="F5" s="4" t="str">
        <f>IFERROR(_xlfn.CONCAT(Math!A83, " ", Math!B83),"AAA 0000")</f>
        <v>MATH 2414</v>
      </c>
      <c r="G5" s="26" t="str">
        <f>IFERROR(_xlfn.CONCAT(Math!A90, " ", Math!B90), "AAA 0000")</f>
        <v>CS 3341</v>
      </c>
      <c r="H5" s="26" t="str">
        <f>IFERROR(_xlfn.CONCAT(Math!A97, " ", Math!B97), "AAA 0000")</f>
        <v>PSY 3310</v>
      </c>
      <c r="I5" s="26" t="str">
        <f>IFERROR(_xlfn.CONCAT(Math!A104, " ", Math!B104), "AAA 0000")</f>
        <v>CS 4365</v>
      </c>
      <c r="J5" s="26" t="str">
        <f>IFERROR(_xlfn.CONCAT(Math!A111, " ", Math!B111),"AAA 0000")</f>
        <v>CS 4391</v>
      </c>
      <c r="K5" s="23"/>
    </row>
    <row r="6" spans="1:13" x14ac:dyDescent="0.35">
      <c r="B6" s="9"/>
      <c r="C6" s="27" t="str">
        <f>IFERROR(_xlfn.CONCAT(Math!A63, " ", Math!B63), "AAA 0000")</f>
        <v>HIST 1301</v>
      </c>
      <c r="D6" s="3" t="str">
        <f>IFERROR(_xlfn.CONCAT(Math!A70, " ", Math!B70), "AAA 0000")</f>
        <v>PHIL 1306</v>
      </c>
      <c r="E6" s="2" t="str">
        <f>IFERROR(_xlfn.CONCAT(Math!A77, " ", Math!B77), "AAA 0000")</f>
        <v>PHYS 2125</v>
      </c>
      <c r="F6" s="4" t="str">
        <f>IFERROR(_xlfn.CONCAT(Math!A84, " ", Math!B84),"AAA 0000")</f>
        <v>PSY 2314</v>
      </c>
      <c r="G6" s="26" t="str">
        <f>IFERROR(_xlfn.CONCAT(Math!A91, " ", Math!B91), "AAA 0000")</f>
        <v>CS 3345</v>
      </c>
      <c r="H6" s="26" t="str">
        <f>IFERROR(_xlfn.CONCAT(Math!A98, " ", Math!B98), "AAA 0000")</f>
        <v>PSY 4343</v>
      </c>
      <c r="I6" s="26" t="str">
        <f>IFERROR(_xlfn.CONCAT(Math!A105, " ", Math!B105), "AAA 0000")</f>
        <v>CS 4375</v>
      </c>
      <c r="J6" s="26" t="str">
        <f>IFERROR(_xlfn.CONCAT(Math!A112, " ", Math!B112),"AAA 0000")</f>
        <v>CS 4395</v>
      </c>
      <c r="K6" s="23"/>
    </row>
    <row r="7" spans="1:13" x14ac:dyDescent="0.35">
      <c r="B7" s="9"/>
      <c r="C7" s="27" t="str">
        <f>IFERROR(_xlfn.CONCAT(Math!A64, " ", Math!B64), "AAA 0000")</f>
        <v>NSC 3361</v>
      </c>
      <c r="D7" s="3" t="str">
        <f>IFERROR(_xlfn.CONCAT(Math!A71, " ", Math!B71), "AAA 0000")</f>
        <v>AAA 0000</v>
      </c>
      <c r="E7" s="2" t="str">
        <f>IFERROR(_xlfn.CONCAT(Math!A78, " ", Math!B78), "AAA 0000")</f>
        <v>AAA 0000</v>
      </c>
      <c r="F7" s="4" t="str">
        <f>IFERROR(_xlfn.CONCAT(Math!A85, " ", Math!B85),"AAA 0000")</f>
        <v>AAA 0000</v>
      </c>
      <c r="G7" s="26" t="str">
        <f>IFERROR(_xlfn.CONCAT(Math!A92, " ", Math!B92), "AAA 0000")</f>
        <v>AAA 0000</v>
      </c>
      <c r="H7" s="26" t="str">
        <f>IFERROR(_xlfn.CONCAT(Math!A99, " ", Math!B99), "AAA 0000")</f>
        <v>AAA 0000</v>
      </c>
      <c r="I7" s="26" t="str">
        <f>IFERROR(_xlfn.CONCAT(Math!A106, " ", Math!B106), "AAA 0000")</f>
        <v>AAA 0000</v>
      </c>
      <c r="J7" s="26" t="str">
        <f>IFERROR(_xlfn.CONCAT(Math!A113, " ", Math!B113),"AAA 0000")</f>
        <v>AAA 0000</v>
      </c>
      <c r="K7" s="23"/>
    </row>
    <row r="8" spans="1:13" x14ac:dyDescent="0.35">
      <c r="B8" s="9"/>
      <c r="C8" s="27"/>
      <c r="D8" s="3"/>
      <c r="E8" s="2"/>
      <c r="F8" s="4"/>
      <c r="G8" s="19"/>
      <c r="H8" s="6"/>
      <c r="I8" s="7"/>
      <c r="J8" s="8"/>
      <c r="K8" s="23"/>
    </row>
    <row r="9" spans="1:13" x14ac:dyDescent="0.35">
      <c r="B9" s="9"/>
      <c r="C9" s="27"/>
      <c r="D9" s="3"/>
      <c r="E9" s="2"/>
      <c r="F9" s="4"/>
      <c r="G9" s="5"/>
      <c r="H9" s="6"/>
      <c r="I9" s="7"/>
      <c r="J9" s="8"/>
      <c r="K9" s="23"/>
      <c r="L9" s="1" t="s">
        <v>34</v>
      </c>
      <c r="M9" s="1" t="s">
        <v>35</v>
      </c>
    </row>
    <row r="10" spans="1:13" x14ac:dyDescent="0.35">
      <c r="A10" s="1" t="s">
        <v>33</v>
      </c>
      <c r="B10" s="9">
        <v>3</v>
      </c>
      <c r="C10" s="27" cm="1">
        <f t="array" ref="C10">SUM(VALUE(Math!C3:C8))</f>
        <v>14</v>
      </c>
      <c r="D10" s="3" cm="1">
        <f t="array" ref="D10">SUM(VALUE(Math!C10:C14))</f>
        <v>16</v>
      </c>
      <c r="E10" s="2" cm="1">
        <f t="array" ref="E10">SUM(VALUE(Math!C16:C20))</f>
        <v>14</v>
      </c>
      <c r="F10" s="4" cm="1">
        <f t="array" ref="F10">SUM(VALUE(Math!C22:C26))</f>
        <v>16</v>
      </c>
      <c r="G10" s="5" cm="1">
        <f t="array" ref="G10">IFERROR(SUM(VALUE(Math!C29:C34)),0)</f>
        <v>15</v>
      </c>
      <c r="H10" s="6" cm="1">
        <f t="array" ref="H10">IFERROR(SUM(VALUE(Math!C36:C41)),0)</f>
        <v>15</v>
      </c>
      <c r="I10" s="7" cm="1">
        <f t="array" ref="I10">IFERROR(SUM(VALUE(Math!C43:C48)),0)</f>
        <v>15</v>
      </c>
      <c r="J10" s="8" cm="1">
        <f t="array" ref="J10">IFERROR(SUM(VALUE(Math!C50:C55)),0)</f>
        <v>15</v>
      </c>
      <c r="K10" s="23">
        <v>9</v>
      </c>
      <c r="L10">
        <v>129</v>
      </c>
      <c r="M10">
        <f>120-L10</f>
        <v>-9</v>
      </c>
    </row>
    <row r="11" spans="1:13" x14ac:dyDescent="0.35">
      <c r="G11" s="19"/>
      <c r="L11" s="26">
        <f>SUM(B10:K10)</f>
        <v>132</v>
      </c>
    </row>
    <row r="12" spans="1:13" x14ac:dyDescent="0.35">
      <c r="D12" s="3"/>
      <c r="E12" s="2"/>
      <c r="F12" s="4"/>
      <c r="G12" s="19"/>
    </row>
    <row r="13" spans="1:13" x14ac:dyDescent="0.35">
      <c r="D13" s="3"/>
      <c r="E13" s="2"/>
      <c r="F13" s="4"/>
      <c r="G13" s="5"/>
    </row>
    <row r="14" spans="1:13" x14ac:dyDescent="0.35">
      <c r="D14" s="3"/>
      <c r="E14" s="2"/>
      <c r="F14" s="4"/>
      <c r="G14" s="19"/>
    </row>
    <row r="15" spans="1:13" x14ac:dyDescent="0.35">
      <c r="D15" s="3"/>
      <c r="E15" s="2"/>
      <c r="F15" s="4"/>
      <c r="G15" s="19"/>
    </row>
    <row r="16" spans="1:13" x14ac:dyDescent="0.35">
      <c r="D16" s="3"/>
      <c r="E16" s="2"/>
      <c r="F16" s="4"/>
      <c r="G16" s="20"/>
    </row>
    <row r="17" spans="7:7" x14ac:dyDescent="0.35">
      <c r="G17" s="20"/>
    </row>
    <row r="18" spans="7:7" x14ac:dyDescent="0.35">
      <c r="G18" s="20"/>
    </row>
    <row r="19" spans="7:7" x14ac:dyDescent="0.35">
      <c r="G19" s="20"/>
    </row>
    <row r="20" spans="7:7" x14ac:dyDescent="0.35">
      <c r="G20" s="20"/>
    </row>
    <row r="30" spans="7:7" x14ac:dyDescent="0.35">
      <c r="G30" s="19"/>
    </row>
    <row r="40" spans="7:7" x14ac:dyDescent="0.35">
      <c r="G40" s="19"/>
    </row>
    <row r="50" spans="7:7" x14ac:dyDescent="0.35">
      <c r="G50" s="19"/>
    </row>
    <row r="60" spans="7:7" x14ac:dyDescent="0.35">
      <c r="G60" s="19"/>
    </row>
    <row r="1048576" spans="7:7" x14ac:dyDescent="0.35">
      <c r="G1048576" s="19"/>
    </row>
  </sheetData>
  <sortState xmlns:xlrd2="http://schemas.microsoft.com/office/spreadsheetml/2017/richdata2" ref="F2:F6">
    <sortCondition ref="F2:F6"/>
  </sortState>
  <conditionalFormatting sqref="G8">
    <cfRule type="duplicateValues" dxfId="33" priority="92"/>
    <cfRule type="duplicateValues" dxfId="32" priority="93"/>
  </conditionalFormatting>
  <conditionalFormatting sqref="G1048576">
    <cfRule type="duplicateValues" dxfId="31" priority="42"/>
    <cfRule type="duplicateValues" dxfId="30" priority="43"/>
  </conditionalFormatting>
  <conditionalFormatting sqref="G30">
    <cfRule type="duplicateValues" dxfId="29" priority="38"/>
    <cfRule type="duplicateValues" dxfId="28" priority="39"/>
  </conditionalFormatting>
  <conditionalFormatting sqref="G40">
    <cfRule type="duplicateValues" dxfId="27" priority="36"/>
    <cfRule type="duplicateValues" dxfId="26" priority="37"/>
  </conditionalFormatting>
  <conditionalFormatting sqref="G50">
    <cfRule type="duplicateValues" dxfId="25" priority="34"/>
    <cfRule type="duplicateValues" dxfId="24" priority="35"/>
  </conditionalFormatting>
  <conditionalFormatting sqref="G60">
    <cfRule type="duplicateValues" dxfId="23" priority="32"/>
    <cfRule type="duplicateValues" dxfId="22" priority="33"/>
  </conditionalFormatting>
  <conditionalFormatting sqref="G16:G20">
    <cfRule type="duplicateValues" dxfId="21" priority="30"/>
    <cfRule type="duplicateValues" dxfId="20" priority="31"/>
  </conditionalFormatting>
  <conditionalFormatting sqref="G11">
    <cfRule type="duplicateValues" dxfId="19" priority="20"/>
    <cfRule type="duplicateValues" dxfId="18" priority="21"/>
  </conditionalFormatting>
  <conditionalFormatting sqref="G12">
    <cfRule type="duplicateValues" dxfId="17" priority="18"/>
    <cfRule type="duplicateValues" dxfId="16" priority="19"/>
  </conditionalFormatting>
  <conditionalFormatting sqref="G13">
    <cfRule type="duplicateValues" dxfId="15" priority="16"/>
    <cfRule type="duplicateValues" dxfId="14" priority="17"/>
  </conditionalFormatting>
  <conditionalFormatting sqref="G14">
    <cfRule type="duplicateValues" dxfId="13" priority="14"/>
    <cfRule type="duplicateValues" dxfId="12" priority="15"/>
  </conditionalFormatting>
  <conditionalFormatting sqref="G15">
    <cfRule type="duplicateValues" dxfId="11" priority="12"/>
    <cfRule type="duplicateValues" dxfId="10" priority="13"/>
  </conditionalFormatting>
  <conditionalFormatting sqref="G2:G7">
    <cfRule type="expression" dxfId="9" priority="9">
      <formula>AND(ROW()&gt;=2, ROW()&lt;=7, COLUMN()=7, G2&lt;&gt;"AAA 0000")</formula>
    </cfRule>
  </conditionalFormatting>
  <conditionalFormatting sqref="H2:H7">
    <cfRule type="expression" dxfId="8" priority="8">
      <formula>AND(ROW()&gt;=2, ROW()&lt;=7, COLUMN()=8, H2&lt;&gt;"AAA 0000")</formula>
    </cfRule>
  </conditionalFormatting>
  <conditionalFormatting sqref="I2:I7">
    <cfRule type="expression" dxfId="7" priority="7">
      <formula>AND(ROW()&gt;=2, ROW()&lt;=7, COLUMN()=9, I2&lt;&gt;"AAA 0000")</formula>
    </cfRule>
  </conditionalFormatting>
  <conditionalFormatting sqref="J2:J7">
    <cfRule type="expression" dxfId="6" priority="6">
      <formula>AND(ROW()&gt;=2, ROW()&lt;=7, COLUMN()=10, J2&lt;&gt;"AAA 0000")</formula>
    </cfRule>
  </conditionalFormatting>
  <conditionalFormatting sqref="C2:J7">
    <cfRule type="expression" dxfId="5" priority="5">
      <formula>AND(ROW()&gt;=2, ROW()&lt;=7,COLUMN()&gt;=3, COLUMN()&lt;=10, F2="AAA 0000")</formula>
    </cfRule>
  </conditionalFormatting>
  <conditionalFormatting sqref="C12:C17">
    <cfRule type="expression" dxfId="4" priority="4">
      <formula>AND(ROW()&gt;=2, ROW()&lt;=7, COLUMN()=3, C12&lt;&gt;"")</formula>
    </cfRule>
  </conditionalFormatting>
  <conditionalFormatting sqref="C2:C7">
    <cfRule type="expression" dxfId="3" priority="3">
      <formula>AND(ROW()&gt;=2, ROW()&lt;=7,COLUMN()&gt;=2, COLUMN()&lt;=3, C2="AAA 0000")</formula>
    </cfRule>
    <cfRule type="expression" dxfId="2" priority="2">
      <formula>AND(ROW()&gt;=2, ROW()&lt;=7, COLUMN()=3, C2&lt;&gt;"AAA 0000")</formula>
    </cfRule>
  </conditionalFormatting>
  <conditionalFormatting sqref="D2:D7">
    <cfRule type="expression" dxfId="1" priority="1">
      <formula>AND(ROW()&gt;=2, ROW()&lt;=7, COLUMN()=4, D2&lt;&gt;"AAA 0000")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E924-F309-43CB-9F46-04017D11DB50}">
  <sheetPr codeName="Sheet1"/>
  <dimension ref="A1:E22"/>
  <sheetViews>
    <sheetView tabSelected="1" workbookViewId="0">
      <selection activeCell="D3" sqref="D3"/>
    </sheetView>
  </sheetViews>
  <sheetFormatPr defaultRowHeight="14.5" x14ac:dyDescent="0.35"/>
  <cols>
    <col min="1" max="1" width="17.453125" bestFit="1" customWidth="1"/>
    <col min="2" max="2" width="18" customWidth="1"/>
    <col min="3" max="3" width="44.81640625" bestFit="1" customWidth="1"/>
    <col min="4" max="4" width="36" bestFit="1" customWidth="1"/>
    <col min="5" max="5" width="70.1796875" bestFit="1" customWidth="1"/>
  </cols>
  <sheetData>
    <row r="1" spans="1:5" x14ac:dyDescent="0.35">
      <c r="A1" s="1" t="s">
        <v>28</v>
      </c>
      <c r="B1" s="1" t="s">
        <v>63</v>
      </c>
      <c r="C1" s="1" t="s">
        <v>24</v>
      </c>
      <c r="D1" s="1" t="s">
        <v>38</v>
      </c>
      <c r="E1" s="1" t="s">
        <v>38</v>
      </c>
    </row>
    <row r="2" spans="1:5" x14ac:dyDescent="0.35">
      <c r="A2" s="27" t="s">
        <v>0</v>
      </c>
      <c r="B2" s="27" t="s">
        <v>9</v>
      </c>
      <c r="C2" s="8" t="s">
        <v>39</v>
      </c>
      <c r="D2" s="8" t="s">
        <v>43</v>
      </c>
      <c r="E2" s="5" t="s">
        <v>51</v>
      </c>
    </row>
    <row r="3" spans="1:5" x14ac:dyDescent="0.35">
      <c r="A3" s="3" t="s">
        <v>29</v>
      </c>
      <c r="B3" s="27" t="s">
        <v>12</v>
      </c>
      <c r="C3" s="7" t="s">
        <v>40</v>
      </c>
      <c r="D3" s="6" t="s">
        <v>44</v>
      </c>
      <c r="E3" t="s">
        <v>44</v>
      </c>
    </row>
    <row r="4" spans="1:5" x14ac:dyDescent="0.35">
      <c r="A4" s="2" t="s">
        <v>1</v>
      </c>
      <c r="B4" s="27" t="s">
        <v>8</v>
      </c>
      <c r="C4" s="7" t="s">
        <v>25</v>
      </c>
      <c r="D4" s="21" t="s">
        <v>45</v>
      </c>
      <c r="E4" s="7" t="s">
        <v>45</v>
      </c>
    </row>
    <row r="5" spans="1:5" x14ac:dyDescent="0.35">
      <c r="A5" s="4" t="s">
        <v>2</v>
      </c>
      <c r="B5" s="27" t="s">
        <v>10</v>
      </c>
      <c r="C5" s="6" t="s">
        <v>61</v>
      </c>
      <c r="D5" s="8" t="s">
        <v>46</v>
      </c>
      <c r="E5" s="5" t="s">
        <v>52</v>
      </c>
    </row>
    <row r="6" spans="1:5" x14ac:dyDescent="0.35">
      <c r="A6" s="5" t="s">
        <v>3</v>
      </c>
      <c r="B6" s="27" t="s">
        <v>11</v>
      </c>
      <c r="C6" s="6" t="s">
        <v>41</v>
      </c>
      <c r="D6" s="6" t="s">
        <v>47</v>
      </c>
      <c r="E6" s="7" t="s">
        <v>53</v>
      </c>
    </row>
    <row r="7" spans="1:5" x14ac:dyDescent="0.35">
      <c r="A7" s="6" t="s">
        <v>4</v>
      </c>
      <c r="B7" s="27" t="s">
        <v>7</v>
      </c>
      <c r="C7" t="s">
        <v>42</v>
      </c>
      <c r="D7" s="5" t="s">
        <v>48</v>
      </c>
      <c r="E7" s="7" t="s">
        <v>54</v>
      </c>
    </row>
    <row r="8" spans="1:5" x14ac:dyDescent="0.35">
      <c r="A8" s="7" t="s">
        <v>5</v>
      </c>
      <c r="B8" s="3" t="s">
        <v>14</v>
      </c>
      <c r="C8" s="5" t="s">
        <v>60</v>
      </c>
      <c r="D8" s="5" t="s">
        <v>49</v>
      </c>
      <c r="E8" s="8" t="s">
        <v>55</v>
      </c>
    </row>
    <row r="9" spans="1:5" x14ac:dyDescent="0.35">
      <c r="A9" s="8" t="s">
        <v>6</v>
      </c>
      <c r="B9" s="3" t="s">
        <v>15</v>
      </c>
      <c r="D9" s="6" t="s">
        <v>50</v>
      </c>
      <c r="E9" s="8" t="s">
        <v>56</v>
      </c>
    </row>
    <row r="10" spans="1:5" x14ac:dyDescent="0.35">
      <c r="A10" s="9" t="s">
        <v>30</v>
      </c>
      <c r="B10" s="3" t="s">
        <v>17</v>
      </c>
    </row>
    <row r="11" spans="1:5" x14ac:dyDescent="0.35">
      <c r="A11" s="23" t="s">
        <v>31</v>
      </c>
      <c r="B11" s="3" t="s">
        <v>7</v>
      </c>
    </row>
    <row r="12" spans="1:5" x14ac:dyDescent="0.35">
      <c r="A12" s="24"/>
      <c r="B12" s="3" t="s">
        <v>16</v>
      </c>
    </row>
    <row r="13" spans="1:5" x14ac:dyDescent="0.35">
      <c r="A13" s="25"/>
      <c r="B13" s="2" t="s">
        <v>20</v>
      </c>
    </row>
    <row r="14" spans="1:5" x14ac:dyDescent="0.35">
      <c r="B14" s="2" t="s">
        <v>18</v>
      </c>
    </row>
    <row r="15" spans="1:5" x14ac:dyDescent="0.35">
      <c r="B15" s="2" t="s">
        <v>13</v>
      </c>
    </row>
    <row r="16" spans="1:5" x14ac:dyDescent="0.35">
      <c r="B16" s="2" t="s">
        <v>19</v>
      </c>
    </row>
    <row r="17" spans="2:2" x14ac:dyDescent="0.35">
      <c r="B17" s="2" t="s">
        <v>21</v>
      </c>
    </row>
    <row r="18" spans="2:2" x14ac:dyDescent="0.35">
      <c r="B18" s="4" t="s">
        <v>62</v>
      </c>
    </row>
    <row r="19" spans="2:2" x14ac:dyDescent="0.35">
      <c r="B19" s="4" t="s">
        <v>26</v>
      </c>
    </row>
    <row r="20" spans="2:2" x14ac:dyDescent="0.35">
      <c r="B20" s="4" t="s">
        <v>22</v>
      </c>
    </row>
    <row r="21" spans="2:2" x14ac:dyDescent="0.35">
      <c r="B21" s="4" t="s">
        <v>23</v>
      </c>
    </row>
    <row r="22" spans="2:2" x14ac:dyDescent="0.35">
      <c r="B22" s="4" t="s">
        <v>58</v>
      </c>
    </row>
  </sheetData>
  <sortState xmlns:xlrd2="http://schemas.microsoft.com/office/spreadsheetml/2017/richdata2" ref="E3:E9">
    <sortCondition ref="E2:E9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4AE2D-D59D-4149-A6B4-4984A6373115}">
  <sheetPr codeName="Sheet3"/>
  <dimension ref="A1:K113"/>
  <sheetViews>
    <sheetView workbookViewId="0">
      <selection activeCell="E3" sqref="E3"/>
    </sheetView>
  </sheetViews>
  <sheetFormatPr defaultRowHeight="14.5" x14ac:dyDescent="0.35"/>
  <cols>
    <col min="7" max="7" width="3.7265625" bestFit="1" customWidth="1"/>
    <col min="8" max="8" width="13" bestFit="1" customWidth="1"/>
    <col min="9" max="9" width="12" bestFit="1" customWidth="1"/>
    <col min="10" max="10" width="4" bestFit="1" customWidth="1"/>
    <col min="11" max="11" width="11.1796875" bestFit="1" customWidth="1"/>
    <col min="12" max="12" width="2.54296875" bestFit="1" customWidth="1"/>
    <col min="13" max="13" width="10.26953125" bestFit="1" customWidth="1"/>
    <col min="14" max="14" width="7.54296875" bestFit="1" customWidth="1"/>
  </cols>
  <sheetData>
    <row r="1" spans="1:6" x14ac:dyDescent="0.35">
      <c r="A1" t="str" cm="1">
        <f t="array" ref="A1:B1">_xlfn.TEXTSPLIT(Credits!B2, " ")</f>
        <v>HIST</v>
      </c>
      <c r="B1" t="str">
        <v>1302</v>
      </c>
      <c r="C1" t="str">
        <f>MID(B1,2,1)</f>
        <v>3</v>
      </c>
    </row>
    <row r="2" spans="1:6" x14ac:dyDescent="0.35">
      <c r="F2" s="18"/>
    </row>
    <row r="3" spans="1:6" x14ac:dyDescent="0.35">
      <c r="A3" t="str" cm="1">
        <f t="array" ref="A3:B3">_xlfn.TEXTSPLIT(Credits!C2, " ")</f>
        <v>BBSU</v>
      </c>
      <c r="B3" t="str">
        <v>1100</v>
      </c>
      <c r="C3" t="str">
        <f>MID(B3,2,1)</f>
        <v>1</v>
      </c>
    </row>
    <row r="4" spans="1:6" x14ac:dyDescent="0.35">
      <c r="A4" t="str" cm="1">
        <f t="array" ref="A4:B4">_xlfn.TEXTSPLIT(Credits!C3, " ")</f>
        <v>CS</v>
      </c>
      <c r="B4" t="str">
        <v>1136</v>
      </c>
      <c r="C4" t="str">
        <f t="shared" ref="C4:C8" si="0">MID(B4,2,1)</f>
        <v>1</v>
      </c>
    </row>
    <row r="5" spans="1:6" x14ac:dyDescent="0.35">
      <c r="A5" t="str" cm="1">
        <f t="array" ref="A5:B5">_xlfn.TEXTSPLIT(Credits!C4, " ")</f>
        <v>CS</v>
      </c>
      <c r="B5" t="str">
        <v>1336</v>
      </c>
      <c r="C5" t="str">
        <f t="shared" si="0"/>
        <v>3</v>
      </c>
    </row>
    <row r="6" spans="1:6" x14ac:dyDescent="0.35">
      <c r="A6" t="str" cm="1">
        <f t="array" ref="A6:B6">_xlfn.TEXTSPLIT(Credits!C5, " ")</f>
        <v>GOV</v>
      </c>
      <c r="B6" t="str">
        <v>2306</v>
      </c>
      <c r="C6" t="str">
        <f t="shared" si="0"/>
        <v>3</v>
      </c>
    </row>
    <row r="7" spans="1:6" x14ac:dyDescent="0.35">
      <c r="A7" t="str" cm="1">
        <f t="array" ref="A7:B7">_xlfn.TEXTSPLIT(Credits!C6, " ")</f>
        <v>HIST</v>
      </c>
      <c r="B7" t="str">
        <v>1301</v>
      </c>
      <c r="C7" t="str">
        <f t="shared" si="0"/>
        <v>3</v>
      </c>
    </row>
    <row r="8" spans="1:6" x14ac:dyDescent="0.35">
      <c r="A8" t="str" cm="1">
        <f t="array" ref="A8:B8">_xlfn.TEXTSPLIT(Credits!C7, " ")</f>
        <v>NSC</v>
      </c>
      <c r="B8" t="str">
        <v>3361</v>
      </c>
      <c r="C8" t="str">
        <f t="shared" si="0"/>
        <v>3</v>
      </c>
    </row>
    <row r="9" spans="1:6" x14ac:dyDescent="0.35">
      <c r="E9" t="str">
        <f>MID(D9,2,1)</f>
        <v/>
      </c>
    </row>
    <row r="10" spans="1:6" x14ac:dyDescent="0.35">
      <c r="A10" t="str" cm="1">
        <f t="array" ref="A10:B10">_xlfn.TEXTSPLIT(Credits!D2, " ")</f>
        <v>CS</v>
      </c>
      <c r="B10" t="str">
        <v>1337</v>
      </c>
      <c r="C10" t="str">
        <f>MID(B10,2,1)</f>
        <v>3</v>
      </c>
    </row>
    <row r="11" spans="1:6" x14ac:dyDescent="0.35">
      <c r="A11" t="str" cm="1">
        <f t="array" ref="A11:B11">_xlfn.TEXTSPLIT(Credits!D3, " ")</f>
        <v>GOV</v>
      </c>
      <c r="B11" t="str">
        <v>2305</v>
      </c>
      <c r="C11" t="str">
        <f t="shared" ref="C11:C14" si="1">MID(B11,2,1)</f>
        <v>3</v>
      </c>
    </row>
    <row r="12" spans="1:6" x14ac:dyDescent="0.35">
      <c r="A12" t="str" cm="1">
        <f t="array" ref="A12:B12">_xlfn.TEXTSPLIT(Credits!D4, " ")</f>
        <v>MATH</v>
      </c>
      <c r="B12" t="str">
        <v>2417</v>
      </c>
      <c r="C12" t="str">
        <f t="shared" si="1"/>
        <v>4</v>
      </c>
    </row>
    <row r="13" spans="1:6" x14ac:dyDescent="0.35">
      <c r="A13" t="str" cm="1">
        <f t="array" ref="A13:B13">_xlfn.TEXTSPLIT(Credits!D5, " ")</f>
        <v>NSC</v>
      </c>
      <c r="B13" t="str">
        <v>3361</v>
      </c>
      <c r="C13" t="str">
        <f t="shared" si="1"/>
        <v>3</v>
      </c>
    </row>
    <row r="14" spans="1:6" x14ac:dyDescent="0.35">
      <c r="A14" t="str" cm="1">
        <f t="array" ref="A14:B14">_xlfn.TEXTSPLIT(Credits!D6, " ")</f>
        <v>PHIL</v>
      </c>
      <c r="B14" t="str">
        <v>1306</v>
      </c>
      <c r="C14" t="str">
        <f t="shared" si="1"/>
        <v>3</v>
      </c>
    </row>
    <row r="16" spans="1:6" x14ac:dyDescent="0.35">
      <c r="A16" t="str" cm="1">
        <f t="array" ref="A16:B16">_xlfn.TEXTSPLIT(Credits!E2, " ")</f>
        <v>CGS</v>
      </c>
      <c r="B16" t="str">
        <v>2301</v>
      </c>
      <c r="C16" t="str">
        <f>MID(B16,2,1)</f>
        <v>3</v>
      </c>
    </row>
    <row r="17" spans="1:3" x14ac:dyDescent="0.35">
      <c r="A17" t="str" cm="1">
        <f t="array" ref="A17:B17">_xlfn.TEXTSPLIT(Credits!E3, " ")</f>
        <v>CS</v>
      </c>
      <c r="B17" t="str">
        <v>2305</v>
      </c>
      <c r="C17" t="str">
        <f t="shared" ref="C17:C20" si="2">MID(B17,2,1)</f>
        <v>3</v>
      </c>
    </row>
    <row r="18" spans="1:3" x14ac:dyDescent="0.35">
      <c r="A18" t="str" cm="1">
        <f t="array" ref="A18:B18">_xlfn.TEXTSPLIT(Credits!E4, " ")</f>
        <v>MATH</v>
      </c>
      <c r="B18" t="str">
        <v>2418</v>
      </c>
      <c r="C18" t="str">
        <f t="shared" si="2"/>
        <v>4</v>
      </c>
    </row>
    <row r="19" spans="1:3" x14ac:dyDescent="0.35">
      <c r="A19" t="str" cm="1">
        <f t="array" ref="A19:B19">_xlfn.TEXTSPLIT(Credits!E5, " ")</f>
        <v>PHYS</v>
      </c>
      <c r="B19" t="str">
        <v>1301</v>
      </c>
      <c r="C19" t="str">
        <f t="shared" si="2"/>
        <v>3</v>
      </c>
    </row>
    <row r="20" spans="1:3" x14ac:dyDescent="0.35">
      <c r="A20" t="str" cm="1">
        <f t="array" ref="A20:B20">_xlfn.TEXTSPLIT(Credits!E6, " ")</f>
        <v>PHYS</v>
      </c>
      <c r="B20" t="str">
        <v>2125</v>
      </c>
      <c r="C20" t="str">
        <f t="shared" si="2"/>
        <v>1</v>
      </c>
    </row>
    <row r="22" spans="1:3" x14ac:dyDescent="0.35">
      <c r="A22" t="str" cm="1">
        <f t="array" ref="A22:B22">_xlfn.TEXTSPLIT(Credits!F2, " ")</f>
        <v>MUSI</v>
      </c>
      <c r="B22" t="str">
        <v>2322</v>
      </c>
      <c r="C22" t="str">
        <f>MID(B22,2,1)</f>
        <v>3</v>
      </c>
    </row>
    <row r="23" spans="1:3" x14ac:dyDescent="0.35">
      <c r="A23" t="str" cm="1">
        <f t="array" ref="A23:B23">_xlfn.TEXTSPLIT(Credits!F3, " ")</f>
        <v>CGS</v>
      </c>
      <c r="B23" t="str">
        <v>3361</v>
      </c>
      <c r="C23" t="str">
        <f t="shared" ref="C23:C26" si="3">MID(B23,2,1)</f>
        <v>3</v>
      </c>
    </row>
    <row r="24" spans="1:3" x14ac:dyDescent="0.35">
      <c r="A24" t="str" cm="1">
        <f t="array" ref="A24:B24">_xlfn.TEXTSPLIT(Credits!F4, " ")</f>
        <v>CS</v>
      </c>
      <c r="B24" t="str">
        <v>2336</v>
      </c>
      <c r="C24" t="str">
        <f t="shared" si="3"/>
        <v>3</v>
      </c>
    </row>
    <row r="25" spans="1:3" x14ac:dyDescent="0.35">
      <c r="A25" t="str" cm="1">
        <f t="array" ref="A25:B25">_xlfn.TEXTSPLIT(Credits!F5, " ")</f>
        <v>MATH</v>
      </c>
      <c r="B25" t="str">
        <v>2414</v>
      </c>
      <c r="C25" t="str">
        <f t="shared" si="3"/>
        <v>4</v>
      </c>
    </row>
    <row r="26" spans="1:3" x14ac:dyDescent="0.35">
      <c r="A26" t="str" cm="1">
        <f t="array" ref="A26:B26">_xlfn.TEXTSPLIT(Credits!F6, " ")</f>
        <v>PSY</v>
      </c>
      <c r="B26" t="str">
        <v>2314</v>
      </c>
      <c r="C26" t="str">
        <f t="shared" si="3"/>
        <v>3</v>
      </c>
    </row>
    <row r="28" spans="1:3" x14ac:dyDescent="0.35">
      <c r="C28" t="str">
        <f>MID(B28,2,1)</f>
        <v/>
      </c>
    </row>
    <row r="29" spans="1:3" x14ac:dyDescent="0.35">
      <c r="A29" t="str" cm="1">
        <f t="array" ref="A29:B29">_xlfn.TEXTSPLIT(Credits!G2, " ")</f>
        <v>PSY</v>
      </c>
      <c r="B29" t="str">
        <v>2317</v>
      </c>
      <c r="C29" t="str">
        <f t="shared" ref="C29:C33" si="4">MID(B29,2,1)</f>
        <v>3</v>
      </c>
    </row>
    <row r="30" spans="1:3" x14ac:dyDescent="0.35">
      <c r="A30" t="str" cm="1">
        <f t="array" ref="A30:B30">_xlfn.TEXTSPLIT(Credits!G3, " ")</f>
        <v>PSY</v>
      </c>
      <c r="B30" t="str">
        <v>3331</v>
      </c>
      <c r="C30" t="str">
        <f t="shared" si="4"/>
        <v>3</v>
      </c>
    </row>
    <row r="31" spans="1:3" x14ac:dyDescent="0.35">
      <c r="A31" t="str" cm="1">
        <f t="array" ref="A31:B31">_xlfn.TEXTSPLIT(Credits!G4, " ")</f>
        <v>PSY</v>
      </c>
      <c r="B31" t="str">
        <v>3362</v>
      </c>
      <c r="C31" t="str">
        <f>MID(B31,2,1)</f>
        <v>3</v>
      </c>
    </row>
    <row r="32" spans="1:3" x14ac:dyDescent="0.35">
      <c r="A32" t="str" cm="1">
        <f t="array" ref="A32:B32">_xlfn.TEXTSPLIT(Credits!G5, " ")</f>
        <v>CS</v>
      </c>
      <c r="B32" t="str">
        <v>3341</v>
      </c>
      <c r="C32" t="str">
        <f t="shared" si="4"/>
        <v>3</v>
      </c>
    </row>
    <row r="33" spans="1:3" x14ac:dyDescent="0.35">
      <c r="A33" t="str" cm="1">
        <f t="array" ref="A33:B33">_xlfn.TEXTSPLIT(Credits!G6, " ")</f>
        <v>CS</v>
      </c>
      <c r="B33" t="str">
        <v>3345</v>
      </c>
      <c r="C33" t="str">
        <f t="shared" si="4"/>
        <v>3</v>
      </c>
    </row>
    <row r="34" spans="1:3" x14ac:dyDescent="0.35">
      <c r="A34" t="str" cm="1">
        <f t="array" ref="A34:B34">_xlfn.TEXTSPLIT(Credits!G7, " ")</f>
        <v>AAA</v>
      </c>
      <c r="B34" t="str">
        <v>0000</v>
      </c>
      <c r="C34" t="str">
        <f t="shared" ref="C34" si="5">MID(B34,2,1)</f>
        <v>0</v>
      </c>
    </row>
    <row r="35" spans="1:3" x14ac:dyDescent="0.35">
      <c r="C35" t="str">
        <f t="shared" ref="C35:C39" si="6">MID(B35,2,1)</f>
        <v/>
      </c>
    </row>
    <row r="36" spans="1:3" x14ac:dyDescent="0.35">
      <c r="A36" t="str" cm="1">
        <f t="array" ref="A36:B36">_xlfn.TEXTSPLIT(Credits!H2, " ")</f>
        <v>PSY</v>
      </c>
      <c r="B36" t="str">
        <v>3393</v>
      </c>
      <c r="C36" t="str">
        <f t="shared" si="6"/>
        <v>3</v>
      </c>
    </row>
    <row r="37" spans="1:3" x14ac:dyDescent="0.35">
      <c r="A37" t="str" cm="1">
        <f t="array" ref="A37:B37">_xlfn.TEXTSPLIT(Credits!H3, " ")</f>
        <v>SPAU</v>
      </c>
      <c r="B37" t="str">
        <v>3303</v>
      </c>
      <c r="C37" t="str">
        <f t="shared" si="6"/>
        <v>3</v>
      </c>
    </row>
    <row r="38" spans="1:3" x14ac:dyDescent="0.35">
      <c r="A38" t="str" cm="1">
        <f t="array" ref="A38:B38">_xlfn.TEXTSPLIT(Credits!H4, " ")</f>
        <v>CGS</v>
      </c>
      <c r="B38" t="str">
        <v>4352</v>
      </c>
      <c r="C38" t="str">
        <f t="shared" si="6"/>
        <v>3</v>
      </c>
    </row>
    <row r="39" spans="1:3" x14ac:dyDescent="0.35">
      <c r="A39" t="str" cm="1">
        <f t="array" ref="A39:B39">_xlfn.TEXTSPLIT(Credits!H5, " ")</f>
        <v>PSY</v>
      </c>
      <c r="B39" t="str">
        <v>3310</v>
      </c>
      <c r="C39" t="str">
        <f t="shared" si="6"/>
        <v>3</v>
      </c>
    </row>
    <row r="40" spans="1:3" x14ac:dyDescent="0.35">
      <c r="A40" t="str" cm="1">
        <f t="array" ref="A40:B40">_xlfn.TEXTSPLIT(Credits!H6, " ")</f>
        <v>PSY</v>
      </c>
      <c r="B40" t="str">
        <v>4343</v>
      </c>
      <c r="C40" t="str">
        <f>MID(B40,2,1)</f>
        <v>3</v>
      </c>
    </row>
    <row r="41" spans="1:3" x14ac:dyDescent="0.35">
      <c r="A41" t="str" cm="1">
        <f t="array" ref="A41:B41">_xlfn.TEXTSPLIT(Credits!H7, " ")</f>
        <v>AAA</v>
      </c>
      <c r="B41" t="str">
        <v>0000</v>
      </c>
      <c r="C41" t="str">
        <f t="shared" ref="C41" si="7">MID(B41,2,1)</f>
        <v>0</v>
      </c>
    </row>
    <row r="42" spans="1:3" x14ac:dyDescent="0.35">
      <c r="C42" t="str">
        <f t="shared" ref="C42:C45" si="8">MID(B42,2,1)</f>
        <v/>
      </c>
    </row>
    <row r="43" spans="1:3" x14ac:dyDescent="0.35">
      <c r="A43" t="str" cm="1">
        <f t="array" ref="A43:B43">_xlfn.TEXTSPLIT(Credits!I2, " ")</f>
        <v>PSY</v>
      </c>
      <c r="B43" t="str">
        <v>3339</v>
      </c>
      <c r="C43" t="str">
        <f t="shared" si="8"/>
        <v>3</v>
      </c>
    </row>
    <row r="44" spans="1:3" x14ac:dyDescent="0.35">
      <c r="A44" t="str" cm="1">
        <f t="array" ref="A44:B44">_xlfn.TEXTSPLIT(Credits!I3, " ")</f>
        <v>PSY</v>
      </c>
      <c r="B44" t="str">
        <v>3392</v>
      </c>
      <c r="C44" t="str">
        <f t="shared" si="8"/>
        <v>3</v>
      </c>
    </row>
    <row r="45" spans="1:3" x14ac:dyDescent="0.35">
      <c r="A45" t="str" cm="1">
        <f t="array" ref="A45:B45">_xlfn.TEXTSPLIT(Credits!I4, " ")</f>
        <v>CGS</v>
      </c>
      <c r="B45" t="str">
        <v>4353</v>
      </c>
      <c r="C45" t="str">
        <f t="shared" si="8"/>
        <v>3</v>
      </c>
    </row>
    <row r="46" spans="1:3" x14ac:dyDescent="0.35">
      <c r="A46" t="str" cm="1">
        <f t="array" ref="A46:B46">_xlfn.TEXTSPLIT(Credits!I5, " ")</f>
        <v>CS</v>
      </c>
      <c r="B46" t="str">
        <v>4365</v>
      </c>
      <c r="C46" t="str">
        <f>MID(B46,2,1)</f>
        <v>3</v>
      </c>
    </row>
    <row r="47" spans="1:3" x14ac:dyDescent="0.35">
      <c r="A47" t="str" cm="1">
        <f t="array" ref="A47:B47">_xlfn.TEXTSPLIT(Credits!I6, " ")</f>
        <v>CS</v>
      </c>
      <c r="B47" t="str">
        <v>4375</v>
      </c>
      <c r="C47" t="str">
        <f t="shared" ref="C47:C54" si="9">MID(B47,2,1)</f>
        <v>3</v>
      </c>
    </row>
    <row r="48" spans="1:3" x14ac:dyDescent="0.35">
      <c r="A48" t="str" cm="1">
        <f t="array" ref="A48:B48">_xlfn.TEXTSPLIT(Credits!I7, " ")</f>
        <v>AAA</v>
      </c>
      <c r="B48" t="str">
        <v>0000</v>
      </c>
      <c r="C48" t="str">
        <f t="shared" si="9"/>
        <v>0</v>
      </c>
    </row>
    <row r="49" spans="1:3" x14ac:dyDescent="0.35">
      <c r="C49" t="str">
        <f t="shared" si="9"/>
        <v/>
      </c>
    </row>
    <row r="50" spans="1:3" x14ac:dyDescent="0.35">
      <c r="A50" t="str" cm="1">
        <f t="array" ref="A50:B50">_xlfn.TEXTSPLIT(Credits!J2, " ")</f>
        <v>CS</v>
      </c>
      <c r="B50" t="str">
        <v>4372</v>
      </c>
      <c r="C50" t="str">
        <f t="shared" si="9"/>
        <v>3</v>
      </c>
    </row>
    <row r="51" spans="1:3" x14ac:dyDescent="0.35">
      <c r="A51" t="str" cm="1">
        <f t="array" ref="A51:B51">_xlfn.TEXTSPLIT(Credits!J3, " ")</f>
        <v>CGS</v>
      </c>
      <c r="B51" t="str">
        <v>4320</v>
      </c>
      <c r="C51" t="str">
        <f t="shared" si="9"/>
        <v>3</v>
      </c>
    </row>
    <row r="52" spans="1:3" x14ac:dyDescent="0.35">
      <c r="A52" t="str" cm="1">
        <f t="array" ref="A52:B52">_xlfn.TEXTSPLIT(Credits!J4, " ")</f>
        <v>CGS</v>
      </c>
      <c r="B52" t="str">
        <v>4362</v>
      </c>
      <c r="C52" t="str">
        <f t="shared" si="9"/>
        <v>3</v>
      </c>
    </row>
    <row r="53" spans="1:3" x14ac:dyDescent="0.35">
      <c r="A53" t="str" cm="1">
        <f t="array" ref="A53:B53">_xlfn.TEXTSPLIT(Credits!J5, " ")</f>
        <v>CS</v>
      </c>
      <c r="B53" t="str">
        <v>4391</v>
      </c>
      <c r="C53" t="str">
        <f t="shared" si="9"/>
        <v>3</v>
      </c>
    </row>
    <row r="54" spans="1:3" x14ac:dyDescent="0.35">
      <c r="A54" t="str" cm="1">
        <f t="array" ref="A54:B54">_xlfn.TEXTSPLIT(Credits!J6, " ")</f>
        <v>CS</v>
      </c>
      <c r="B54" t="str">
        <v>4395</v>
      </c>
      <c r="C54" t="str">
        <f t="shared" si="9"/>
        <v>3</v>
      </c>
    </row>
    <row r="55" spans="1:3" x14ac:dyDescent="0.35">
      <c r="A55" t="str" cm="1">
        <f t="array" ref="A55:B55">_xlfn.TEXTSPLIT(Credits!J7, " ")</f>
        <v>AAA</v>
      </c>
      <c r="B55" t="str">
        <v>0000</v>
      </c>
      <c r="C55" t="str">
        <f t="shared" ref="C55" si="10">MID(B55,2,1)</f>
        <v>0</v>
      </c>
    </row>
    <row r="58" spans="1:3" x14ac:dyDescent="0.35">
      <c r="A58" s="1" t="s">
        <v>57</v>
      </c>
    </row>
    <row r="59" spans="1:3" x14ac:dyDescent="0.35">
      <c r="A59" t="str" cm="1">
        <f t="array" ref="A59:B59">_xlfn.TEXTSPLIT(Filler!A2, " ")</f>
        <v>BBSU</v>
      </c>
      <c r="B59" t="str">
        <v>1100</v>
      </c>
    </row>
    <row r="60" spans="1:3" x14ac:dyDescent="0.35">
      <c r="A60" t="str" cm="1">
        <f t="array" ref="A60:B60">_xlfn.TEXTSPLIT(Filler!A3, " ")</f>
        <v>CS</v>
      </c>
      <c r="B60" t="str">
        <v>1136</v>
      </c>
    </row>
    <row r="61" spans="1:3" x14ac:dyDescent="0.35">
      <c r="A61" t="str" cm="1">
        <f t="array" ref="A61:B61">_xlfn.TEXTSPLIT(Filler!A4, " ")</f>
        <v>CS</v>
      </c>
      <c r="B61" t="str">
        <v>1336</v>
      </c>
    </row>
    <row r="62" spans="1:3" x14ac:dyDescent="0.35">
      <c r="A62" t="str" cm="1">
        <f t="array" ref="A62:B62">_xlfn.TEXTSPLIT(Filler!A5, " ")</f>
        <v>GOV</v>
      </c>
      <c r="B62" t="str">
        <v>2306</v>
      </c>
    </row>
    <row r="63" spans="1:3" x14ac:dyDescent="0.35">
      <c r="A63" t="str" cm="1">
        <f t="array" ref="A63:B63">_xlfn.TEXTSPLIT(Filler!A6, " ")</f>
        <v>HIST</v>
      </c>
      <c r="B63" t="str">
        <v>1301</v>
      </c>
    </row>
    <row r="64" spans="1:3" x14ac:dyDescent="0.35">
      <c r="A64" t="str" cm="1">
        <f t="array" ref="A64:B64">_xlfn.TEXTSPLIT(Filler!A7, " ")</f>
        <v>NSC</v>
      </c>
      <c r="B64" t="str">
        <v>3361</v>
      </c>
    </row>
    <row r="66" spans="1:2" x14ac:dyDescent="0.35">
      <c r="A66" t="str" cm="1">
        <f t="array" ref="A66:B66">_xlfn.TEXTSPLIT(Filler!B2, " ")</f>
        <v>CS</v>
      </c>
      <c r="B66" t="str">
        <v>1337</v>
      </c>
    </row>
    <row r="67" spans="1:2" x14ac:dyDescent="0.35">
      <c r="A67" t="str" cm="1">
        <f t="array" ref="A67:B67">_xlfn.TEXTSPLIT(Filler!B3, " ")</f>
        <v>GOV</v>
      </c>
      <c r="B67" t="str">
        <v>2305</v>
      </c>
    </row>
    <row r="68" spans="1:2" x14ac:dyDescent="0.35">
      <c r="A68" t="str" cm="1">
        <f t="array" ref="A68:B68">_xlfn.TEXTSPLIT(Filler!B4, " ")</f>
        <v>MATH</v>
      </c>
      <c r="B68" t="str">
        <v>2417</v>
      </c>
    </row>
    <row r="69" spans="1:2" x14ac:dyDescent="0.35">
      <c r="A69" t="str" cm="1">
        <f t="array" ref="A69:B69">_xlfn.TEXTSPLIT(Filler!B5, " ")</f>
        <v>NSC</v>
      </c>
      <c r="B69" t="str">
        <v>3361</v>
      </c>
    </row>
    <row r="70" spans="1:2" x14ac:dyDescent="0.35">
      <c r="A70" t="str" cm="1">
        <f t="array" ref="A70:B70">_xlfn.TEXTSPLIT(Filler!B6, " ")</f>
        <v>PHIL</v>
      </c>
      <c r="B70" t="str">
        <v>1306</v>
      </c>
    </row>
    <row r="71" spans="1:2" x14ac:dyDescent="0.35">
      <c r="A71" t="e" cm="1">
        <f t="array" ref="A71">_xlfn.TEXTSPLIT(Filler!B7, " ")</f>
        <v>#VALUE!</v>
      </c>
    </row>
    <row r="73" spans="1:2" x14ac:dyDescent="0.35">
      <c r="A73" t="str" cm="1">
        <f t="array" ref="A73:B73">_xlfn.TEXTSPLIT(Filler!C2, " ")</f>
        <v>CGS</v>
      </c>
      <c r="B73" t="str">
        <v>2301</v>
      </c>
    </row>
    <row r="74" spans="1:2" x14ac:dyDescent="0.35">
      <c r="A74" t="str" cm="1">
        <f t="array" ref="A74:B74">_xlfn.TEXTSPLIT(Filler!C3, " ")</f>
        <v>CS</v>
      </c>
      <c r="B74" t="str">
        <v>2305</v>
      </c>
    </row>
    <row r="75" spans="1:2" x14ac:dyDescent="0.35">
      <c r="A75" t="str" cm="1">
        <f t="array" ref="A75:B75">_xlfn.TEXTSPLIT(Filler!C4, " ")</f>
        <v>MATH</v>
      </c>
      <c r="B75" t="str">
        <v>2418</v>
      </c>
    </row>
    <row r="76" spans="1:2" x14ac:dyDescent="0.35">
      <c r="A76" t="str" cm="1">
        <f t="array" ref="A76:B76">_xlfn.TEXTSPLIT(Filler!C5, " ")</f>
        <v>PHYS</v>
      </c>
      <c r="B76" t="str">
        <v>1301</v>
      </c>
    </row>
    <row r="77" spans="1:2" x14ac:dyDescent="0.35">
      <c r="A77" t="str" cm="1">
        <f t="array" ref="A77:B77">_xlfn.TEXTSPLIT(Filler!C6, " ")</f>
        <v>PHYS</v>
      </c>
      <c r="B77" t="str">
        <v>2125</v>
      </c>
    </row>
    <row r="78" spans="1:2" x14ac:dyDescent="0.35">
      <c r="A78" t="e" cm="1">
        <f t="array" ref="A78">_xlfn.TEXTSPLIT(Filler!C7, " ")</f>
        <v>#VALUE!</v>
      </c>
    </row>
    <row r="80" spans="1:2" x14ac:dyDescent="0.35">
      <c r="A80" t="str" cm="1">
        <f t="array" ref="A80:B80">_xlfn.TEXTSPLIT(Filler!D2, " ")</f>
        <v>MUSI</v>
      </c>
      <c r="B80" t="str">
        <v>2322</v>
      </c>
    </row>
    <row r="81" spans="1:11" x14ac:dyDescent="0.35">
      <c r="A81" t="str" cm="1">
        <f t="array" ref="A81:B81">_xlfn.TEXTSPLIT(Filler!D3, " ")</f>
        <v>CGS</v>
      </c>
      <c r="B81" t="str">
        <v>3361</v>
      </c>
    </row>
    <row r="82" spans="1:11" x14ac:dyDescent="0.35">
      <c r="A82" t="str" cm="1">
        <f t="array" ref="A82:B82">_xlfn.TEXTSPLIT(Filler!D4, " ")</f>
        <v>CS</v>
      </c>
      <c r="B82" t="str">
        <v>2336</v>
      </c>
    </row>
    <row r="83" spans="1:11" x14ac:dyDescent="0.35">
      <c r="A83" t="str" cm="1">
        <f t="array" ref="A83:B83">_xlfn.TEXTSPLIT(Filler!D5, " ")</f>
        <v>MATH</v>
      </c>
      <c r="B83" t="str">
        <v>2414</v>
      </c>
    </row>
    <row r="84" spans="1:11" x14ac:dyDescent="0.35">
      <c r="A84" t="str" cm="1">
        <f t="array" ref="A84:B84">_xlfn.TEXTSPLIT(Filler!D6, " ")</f>
        <v>PSY</v>
      </c>
      <c r="B84" t="str">
        <v>2314</v>
      </c>
    </row>
    <row r="85" spans="1:11" x14ac:dyDescent="0.35">
      <c r="A85" t="e" cm="1">
        <f t="array" ref="A85">_xlfn.TEXTSPLIT(Filler!D7, " ")</f>
        <v>#VALUE!</v>
      </c>
    </row>
    <row r="87" spans="1:11" x14ac:dyDescent="0.35">
      <c r="A87" t="str" cm="1">
        <f t="array" ref="A87:F87">_xlfn.TEXTSPLIT(Filler!E2, " ")</f>
        <v>PSY</v>
      </c>
      <c r="B87" t="str">
        <v>2317</v>
      </c>
      <c r="C87" t="str">
        <v>Statistics</v>
      </c>
      <c r="D87" t="str">
        <v>for</v>
      </c>
      <c r="E87" t="str">
        <v>Psychology</v>
      </c>
      <c r="F87" t="str">
        <v>Probability</v>
      </c>
    </row>
    <row r="88" spans="1:11" x14ac:dyDescent="0.35">
      <c r="A88" t="str" cm="1">
        <f t="array" ref="A88:D88">_xlfn.TEXTSPLIT(Filler!E3, " ")</f>
        <v>PSY</v>
      </c>
      <c r="B88" t="str">
        <v>3331</v>
      </c>
      <c r="C88" t="str">
        <v>Social</v>
      </c>
      <c r="D88" t="str">
        <v>Psychology</v>
      </c>
    </row>
    <row r="89" spans="1:11" x14ac:dyDescent="0.35">
      <c r="A89" t="str" cm="1">
        <f t="array" ref="A89:D89">_xlfn.TEXTSPLIT(Filler!E4, " ")</f>
        <v>PSY</v>
      </c>
      <c r="B89" t="str">
        <v>3362</v>
      </c>
      <c r="C89" t="str">
        <v>Cognitive</v>
      </c>
      <c r="D89" t="str">
        <v>Development</v>
      </c>
    </row>
    <row r="90" spans="1:11" x14ac:dyDescent="0.35">
      <c r="A90" t="str" cm="1">
        <f t="array" ref="A90:K90">_xlfn.TEXTSPLIT(Filler!E5, " ")</f>
        <v>CS</v>
      </c>
      <c r="B90" t="str">
        <v>3341</v>
      </c>
      <c r="C90" t="str">
        <v>Probability</v>
      </c>
      <c r="D90" t="str">
        <v>and</v>
      </c>
      <c r="E90" t="str">
        <v>Statistics</v>
      </c>
      <c r="F90" t="str">
        <v>in</v>
      </c>
      <c r="G90" t="str">
        <v>Computer</v>
      </c>
      <c r="H90" t="str">
        <v>Science</v>
      </c>
      <c r="I90" t="str">
        <v>and</v>
      </c>
      <c r="J90" t="str">
        <v>Software</v>
      </c>
      <c r="K90" t="str">
        <v>Engineering</v>
      </c>
    </row>
    <row r="91" spans="1:11" x14ac:dyDescent="0.35">
      <c r="A91" t="str" cm="1">
        <f t="array" ref="A91:I91">_xlfn.TEXTSPLIT(Filler!E6, " ")</f>
        <v>CS</v>
      </c>
      <c r="B91" t="str">
        <v>3345</v>
      </c>
      <c r="C91" t="str">
        <v>Data</v>
      </c>
      <c r="D91" t="str">
        <v>Structures</v>
      </c>
      <c r="E91" t="str">
        <v>and</v>
      </c>
      <c r="F91" t="str">
        <v>Introduction</v>
      </c>
      <c r="G91" t="str">
        <v>to</v>
      </c>
      <c r="H91" t="str">
        <v>Algorithmic</v>
      </c>
      <c r="I91" t="str">
        <v>Analysis</v>
      </c>
    </row>
    <row r="92" spans="1:11" x14ac:dyDescent="0.35">
      <c r="A92" t="e" cm="1">
        <f t="array" ref="A92">_xlfn.TEXTSPLIT(Filler!E7, " ")</f>
        <v>#VALUE!</v>
      </c>
    </row>
    <row r="94" spans="1:11" x14ac:dyDescent="0.35">
      <c r="A94" t="str" cm="1">
        <f t="array" ref="A94:G94">_xlfn.TEXTSPLIT(Filler!F2, " ")</f>
        <v>PSY</v>
      </c>
      <c r="B94" t="str">
        <v>3393</v>
      </c>
      <c r="C94" t="str">
        <v>Experimental</v>
      </c>
      <c r="D94" t="str">
        <v>Projects</v>
      </c>
      <c r="E94" t="str">
        <v>in</v>
      </c>
      <c r="F94" t="str">
        <v>Psychology</v>
      </c>
      <c r="G94" t="str">
        <v/>
      </c>
    </row>
    <row r="95" spans="1:11" x14ac:dyDescent="0.35">
      <c r="A95" t="str" cm="1">
        <f t="array" ref="A95:E95">_xlfn.TEXTSPLIT(Filler!F3, " ")</f>
        <v>SPAU</v>
      </c>
      <c r="B95" t="str">
        <v>3303</v>
      </c>
      <c r="C95" t="str">
        <v>Normal</v>
      </c>
      <c r="D95" t="str">
        <v>Language</v>
      </c>
      <c r="E95" t="str">
        <v>Development</v>
      </c>
    </row>
    <row r="96" spans="1:11" x14ac:dyDescent="0.35">
      <c r="A96" t="str" cm="1">
        <f t="array" ref="A96:E96">_xlfn.TEXTSPLIT(Filler!F4, " ")</f>
        <v>CGS</v>
      </c>
      <c r="B96" t="str">
        <v>4352</v>
      </c>
      <c r="C96" t="str">
        <v>Human-Computer</v>
      </c>
      <c r="D96" t="str">
        <v>Interaction</v>
      </c>
      <c r="E96" t="str">
        <v>I</v>
      </c>
    </row>
    <row r="97" spans="1:7" x14ac:dyDescent="0.35">
      <c r="A97" t="str" cm="1">
        <f t="array" ref="A97:D97">_xlfn.TEXTSPLIT(Filler!F5, " ")</f>
        <v>PSY</v>
      </c>
      <c r="B97" t="str">
        <v>3310</v>
      </c>
      <c r="C97" t="str">
        <v>Child</v>
      </c>
      <c r="D97" t="str">
        <v>Development</v>
      </c>
    </row>
    <row r="98" spans="1:7" x14ac:dyDescent="0.35">
      <c r="A98" t="str" cm="1">
        <f t="array" ref="A98:D98">_xlfn.TEXTSPLIT(Filler!F6, " ")</f>
        <v>PSY</v>
      </c>
      <c r="B98" t="str">
        <v>4343</v>
      </c>
      <c r="C98" t="str">
        <v>Abnormal</v>
      </c>
      <c r="D98" t="str">
        <v>Psychology</v>
      </c>
    </row>
    <row r="99" spans="1:7" x14ac:dyDescent="0.35">
      <c r="A99" t="e" cm="1">
        <f t="array" ref="A99">_xlfn.TEXTSPLIT(Filler!F7, " ")</f>
        <v>#VALUE!</v>
      </c>
    </row>
    <row r="101" spans="1:7" x14ac:dyDescent="0.35">
      <c r="A101" t="str" cm="1">
        <f t="array" ref="A101:D101">_xlfn.TEXTSPLIT(Filler!G2, " ")</f>
        <v>PSY</v>
      </c>
      <c r="B101" t="str">
        <v>3339</v>
      </c>
      <c r="C101" t="str">
        <v>Educational</v>
      </c>
      <c r="D101" t="str">
        <v>Psychology</v>
      </c>
    </row>
    <row r="102" spans="1:7" x14ac:dyDescent="0.35">
      <c r="A102" t="str" cm="1">
        <f t="array" ref="A102:F102">_xlfn.TEXTSPLIT(Filler!G3, " ")</f>
        <v>PSY</v>
      </c>
      <c r="B102" t="str">
        <v>3392</v>
      </c>
      <c r="C102" t="str">
        <v>Research</v>
      </c>
      <c r="D102" t="str">
        <v>Design</v>
      </c>
      <c r="E102" t="str">
        <v>and</v>
      </c>
      <c r="F102" t="str">
        <v>Analysis</v>
      </c>
    </row>
    <row r="103" spans="1:7" x14ac:dyDescent="0.35">
      <c r="A103" t="str" cm="1">
        <f t="array" ref="A103:E103">_xlfn.TEXTSPLIT(Filler!G4, " ")</f>
        <v>CGS</v>
      </c>
      <c r="B103" t="str">
        <v>4353</v>
      </c>
      <c r="C103" t="str">
        <v>Human-Computer</v>
      </c>
      <c r="D103" t="str">
        <v>Interaction</v>
      </c>
      <c r="E103" t="str">
        <v>II</v>
      </c>
    </row>
    <row r="104" spans="1:7" x14ac:dyDescent="0.35">
      <c r="A104" t="str" cm="1">
        <f t="array" ref="A104:D104">_xlfn.TEXTSPLIT(Filler!G5, " ")</f>
        <v>CS</v>
      </c>
      <c r="B104" t="str">
        <v>4365</v>
      </c>
      <c r="C104" t="str">
        <v>Artificial</v>
      </c>
      <c r="D104" t="str">
        <v>Intelligence</v>
      </c>
    </row>
    <row r="105" spans="1:7" x14ac:dyDescent="0.35">
      <c r="A105" t="str" cm="1">
        <f t="array" ref="A105:F105">_xlfn.TEXTSPLIT(Filler!G6, " ")</f>
        <v>CS</v>
      </c>
      <c r="B105" t="str">
        <v>4375</v>
      </c>
      <c r="C105" t="str">
        <v>Introduction</v>
      </c>
      <c r="D105" t="str">
        <v>to</v>
      </c>
      <c r="E105" t="str">
        <v>Machine</v>
      </c>
      <c r="F105" t="str">
        <v>Learning</v>
      </c>
    </row>
    <row r="106" spans="1:7" x14ac:dyDescent="0.35">
      <c r="A106" t="e" cm="1">
        <f t="array" ref="A106">_xlfn.TEXTSPLIT(Filler!G7, " ")</f>
        <v>#VALUE!</v>
      </c>
    </row>
    <row r="108" spans="1:7" x14ac:dyDescent="0.35">
      <c r="A108" t="str" cm="1">
        <f t="array" ref="A108:G108">_xlfn.TEXTSPLIT(Filler!H2, " ")</f>
        <v>CS</v>
      </c>
      <c r="B108" t="str">
        <v>4372</v>
      </c>
      <c r="C108" t="str">
        <v>Computational</v>
      </c>
      <c r="D108" t="str">
        <v>Methods</v>
      </c>
      <c r="E108" t="str">
        <v>for</v>
      </c>
      <c r="F108" t="str">
        <v>Data</v>
      </c>
      <c r="G108" t="str">
        <v>Scientists</v>
      </c>
    </row>
    <row r="109" spans="1:7" x14ac:dyDescent="0.35">
      <c r="A109" t="str" cm="1">
        <f t="array" ref="A109:E109">_xlfn.TEXTSPLIT(Filler!H3, " ")</f>
        <v>CGS</v>
      </c>
      <c r="B109" t="str">
        <v>4320</v>
      </c>
      <c r="C109" t="str">
        <v>Psychology</v>
      </c>
      <c r="D109" t="str">
        <v>of</v>
      </c>
      <c r="E109" t="str">
        <v>Reasoning</v>
      </c>
    </row>
    <row r="110" spans="1:7" x14ac:dyDescent="0.35">
      <c r="A110" t="str" cm="1">
        <f t="array" ref="A110:C110">_xlfn.TEXTSPLIT(Filler!H4, " ")</f>
        <v>CGS</v>
      </c>
      <c r="B110" t="str">
        <v>4362</v>
      </c>
      <c r="C110" t="str">
        <v>Perception</v>
      </c>
    </row>
    <row r="111" spans="1:7" x14ac:dyDescent="0.35">
      <c r="A111" t="str" cm="1">
        <f t="array" ref="A111:F111">_xlfn.TEXTSPLIT(Filler!H5, " ")</f>
        <v>CS</v>
      </c>
      <c r="B111" t="str">
        <v>4391</v>
      </c>
      <c r="C111" t="str">
        <v>Introduction</v>
      </c>
      <c r="D111" t="str">
        <v>to</v>
      </c>
      <c r="E111" t="str">
        <v>Computer</v>
      </c>
      <c r="F111" t="str">
        <v>Vision</v>
      </c>
    </row>
    <row r="112" spans="1:7" x14ac:dyDescent="0.35">
      <c r="A112" t="str" cm="1">
        <f t="array" ref="A112:E112">_xlfn.TEXTSPLIT(Filler!H6, " ")</f>
        <v>CS</v>
      </c>
      <c r="B112" t="str">
        <v>4395</v>
      </c>
      <c r="C112" t="str">
        <v>Human</v>
      </c>
      <c r="D112" t="str">
        <v>Language</v>
      </c>
      <c r="E112" t="str">
        <v>Technologies</v>
      </c>
    </row>
    <row r="113" spans="1:1" x14ac:dyDescent="0.35">
      <c r="A113" t="e" cm="1">
        <f t="array" ref="A113">_xlfn.TEXTSPLIT(Filler!H7, " ")</f>
        <v>#VALUE!</v>
      </c>
    </row>
  </sheetData>
  <conditionalFormatting sqref="E48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AB6F-1F06-4DD8-B2A8-9F7C23555F8E}">
  <sheetPr codeName="Sheet4"/>
  <dimension ref="A1:H11"/>
  <sheetViews>
    <sheetView workbookViewId="0"/>
  </sheetViews>
  <sheetFormatPr defaultRowHeight="14.5" x14ac:dyDescent="0.35"/>
  <cols>
    <col min="1" max="1" width="9.6328125" bestFit="1" customWidth="1"/>
    <col min="2" max="4" width="10.453125" bestFit="1" customWidth="1"/>
    <col min="5" max="5" width="70.1796875" bestFit="1" customWidth="1"/>
    <col min="6" max="6" width="40.453125" bestFit="1" customWidth="1"/>
    <col min="7" max="7" width="36.54296875" bestFit="1" customWidth="1"/>
    <col min="8" max="8" width="44.81640625" bestFit="1" customWidth="1"/>
  </cols>
  <sheetData>
    <row r="1" spans="1:8" x14ac:dyDescent="0.35">
      <c r="A1" s="5"/>
      <c r="B1" s="6"/>
      <c r="C1" s="7"/>
      <c r="D1" s="8"/>
    </row>
    <row r="2" spans="1:8" x14ac:dyDescent="0.35">
      <c r="A2" s="27" t="s">
        <v>9</v>
      </c>
      <c r="B2" s="3" t="s">
        <v>14</v>
      </c>
      <c r="C2" s="2" t="s">
        <v>20</v>
      </c>
      <c r="D2" s="4" t="s">
        <v>62</v>
      </c>
      <c r="E2" s="5" t="s">
        <v>60</v>
      </c>
      <c r="F2" s="6" t="s">
        <v>61</v>
      </c>
      <c r="G2" s="7" t="s">
        <v>40</v>
      </c>
      <c r="H2" s="8" t="s">
        <v>39</v>
      </c>
    </row>
    <row r="3" spans="1:8" x14ac:dyDescent="0.35">
      <c r="A3" s="27" t="s">
        <v>12</v>
      </c>
      <c r="B3" s="3" t="s">
        <v>15</v>
      </c>
      <c r="C3" s="2" t="s">
        <v>18</v>
      </c>
      <c r="D3" s="4" t="s">
        <v>26</v>
      </c>
      <c r="E3" s="5" t="s">
        <v>48</v>
      </c>
      <c r="F3" s="6" t="s">
        <v>41</v>
      </c>
      <c r="G3" s="7" t="s">
        <v>25</v>
      </c>
      <c r="H3" s="8" t="s">
        <v>43</v>
      </c>
    </row>
    <row r="4" spans="1:8" x14ac:dyDescent="0.35">
      <c r="A4" s="27" t="s">
        <v>8</v>
      </c>
      <c r="B4" s="3" t="s">
        <v>17</v>
      </c>
      <c r="C4" s="2" t="s">
        <v>13</v>
      </c>
      <c r="D4" s="4" t="s">
        <v>22</v>
      </c>
      <c r="E4" s="5" t="s">
        <v>49</v>
      </c>
      <c r="F4" s="6" t="s">
        <v>44</v>
      </c>
      <c r="G4" s="7" t="s">
        <v>45</v>
      </c>
      <c r="H4" s="8" t="s">
        <v>46</v>
      </c>
    </row>
    <row r="5" spans="1:8" x14ac:dyDescent="0.35">
      <c r="A5" s="27" t="s">
        <v>10</v>
      </c>
      <c r="B5" s="3" t="s">
        <v>7</v>
      </c>
      <c r="C5" s="2" t="s">
        <v>19</v>
      </c>
      <c r="D5" s="4" t="s">
        <v>23</v>
      </c>
      <c r="E5" s="5" t="s">
        <v>51</v>
      </c>
      <c r="F5" s="6" t="s">
        <v>47</v>
      </c>
      <c r="G5" s="7" t="s">
        <v>53</v>
      </c>
      <c r="H5" s="8" t="s">
        <v>55</v>
      </c>
    </row>
    <row r="6" spans="1:8" x14ac:dyDescent="0.35">
      <c r="A6" s="27" t="s">
        <v>11</v>
      </c>
      <c r="B6" s="3" t="s">
        <v>16</v>
      </c>
      <c r="C6" s="2" t="s">
        <v>21</v>
      </c>
      <c r="D6" s="4" t="s">
        <v>58</v>
      </c>
      <c r="E6" s="5" t="s">
        <v>52</v>
      </c>
      <c r="F6" s="6" t="s">
        <v>50</v>
      </c>
      <c r="G6" s="7" t="s">
        <v>54</v>
      </c>
      <c r="H6" s="8" t="s">
        <v>56</v>
      </c>
    </row>
    <row r="7" spans="1:8" x14ac:dyDescent="0.35">
      <c r="A7" s="27" t="s">
        <v>7</v>
      </c>
      <c r="B7" s="6"/>
      <c r="C7" s="7"/>
      <c r="D7" s="4"/>
    </row>
    <row r="8" spans="1:8" x14ac:dyDescent="0.35">
      <c r="A8" s="5"/>
      <c r="B8" s="6"/>
      <c r="C8" s="7"/>
      <c r="D8" s="8"/>
    </row>
    <row r="9" spans="1:8" x14ac:dyDescent="0.35">
      <c r="A9" s="5"/>
      <c r="B9" s="6"/>
      <c r="C9" s="7"/>
      <c r="D9" s="8"/>
    </row>
    <row r="10" spans="1:8" x14ac:dyDescent="0.35">
      <c r="A10" s="5"/>
      <c r="B10" s="6"/>
      <c r="C10" s="7"/>
      <c r="D10" s="8"/>
    </row>
    <row r="11" spans="1:8" x14ac:dyDescent="0.35">
      <c r="A11" s="5"/>
      <c r="B11" s="6"/>
      <c r="C11" s="7"/>
      <c r="D11" s="8"/>
    </row>
  </sheetData>
  <sortState xmlns:xlrd2="http://schemas.microsoft.com/office/spreadsheetml/2017/richdata2" ref="D1:D14">
    <sortCondition ref="D1:D1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Credits</vt:lpstr>
      <vt:lpstr>Courses</vt:lpstr>
      <vt:lpstr>Math</vt:lpstr>
      <vt:lpstr>Filler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ethan4lobo@gmail.com</cp:lastModifiedBy>
  <dcterms:created xsi:type="dcterms:W3CDTF">2022-09-07T18:19:57Z</dcterms:created>
  <dcterms:modified xsi:type="dcterms:W3CDTF">2023-03-25T06:08:14Z</dcterms:modified>
</cp:coreProperties>
</file>